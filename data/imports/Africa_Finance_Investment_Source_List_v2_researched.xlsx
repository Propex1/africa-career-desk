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06b4160cbef188/Documents/Projects/Studat/"/>
    </mc:Choice>
  </mc:AlternateContent>
  <xr:revisionPtr revIDLastSave="8" documentId="8_{1680FCE6-976D-453B-BF93-6ED06BC40709}" xr6:coauthVersionLast="47" xr6:coauthVersionMax="47" xr10:uidLastSave="{2DB07260-18FF-4455-AC04-19D599CB435B}"/>
  <bookViews>
    <workbookView xWindow="-98" yWindow="-98" windowWidth="22695" windowHeight="14476" activeTab="1" xr2:uid="{00000000-000D-0000-FFFF-FFFF00000000}"/>
  </bookViews>
  <sheets>
    <sheet name="Dashboard" sheetId="1" r:id="rId1"/>
    <sheet name="100 Company Source List" sheetId="2" r:id="rId2"/>
    <sheet name="Logo Map Triage" sheetId="3" r:id="rId3"/>
    <sheet name="Dropdown Lists" sheetId="4" r:id="rId4"/>
    <sheet name="Research Summary" sheetId="5" r:id="rId5"/>
    <sheet name="High-Conviction Add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B13" i="1"/>
  <c r="E12" i="1"/>
  <c r="B12" i="1"/>
  <c r="E11" i="1"/>
  <c r="B11" i="1"/>
  <c r="E10" i="1"/>
  <c r="B10" i="1"/>
  <c r="E9" i="1"/>
  <c r="B9" i="1"/>
  <c r="E8" i="1"/>
  <c r="B8" i="1"/>
  <c r="B17" i="5"/>
  <c r="B16" i="5"/>
  <c r="B15" i="5"/>
  <c r="B14" i="5"/>
  <c r="B12" i="5"/>
</calcChain>
</file>

<file path=xl/sharedStrings.xml><?xml version="1.0" encoding="utf-8"?>
<sst xmlns="http://schemas.openxmlformats.org/spreadsheetml/2006/main" count="4782" uniqueCount="1127">
  <si>
    <t>Premium Africa Finance &amp; Investment Careers Platform — Source List Builder</t>
  </si>
  <si>
    <t>Purpose: build the first 100-organization source list before coding the platform. Use this workbook to verify official career pages, tag role categories, and decide which organizations enter V1.</t>
  </si>
  <si>
    <t>Metric</t>
  </si>
  <si>
    <t>Value</t>
  </si>
  <si>
    <t>Category</t>
  </si>
  <si>
    <t>Count</t>
  </si>
  <si>
    <t>Total candidate organizations</t>
  </si>
  <si>
    <t>PE / Private Capital</t>
  </si>
  <si>
    <t>V1 Include</t>
  </si>
  <si>
    <t>Infrastructure / Project Finance</t>
  </si>
  <si>
    <t>Monitor</t>
  </si>
  <si>
    <t>DFI / MDB</t>
  </si>
  <si>
    <t>P1 Priority</t>
  </si>
  <si>
    <t>VC / Growth Equity</t>
  </si>
  <si>
    <t>Needs manual verification</t>
  </si>
  <si>
    <t>Climate Finance / Impact Investing</t>
  </si>
  <si>
    <t>Official careers page already found</t>
  </si>
  <si>
    <t>Private Credit / Mezzanine</t>
  </si>
  <si>
    <t>Strategy / Deals Advisory</t>
  </si>
  <si>
    <t>Corporate Development / Strategic Finance</t>
  </si>
  <si>
    <t>Asset Management / Private Markets</t>
  </si>
  <si>
    <t>Next 7 days — recommended execution</t>
  </si>
  <si>
    <t>1</t>
  </si>
  <si>
    <t>Verify official websites and career pages for all P1 organizations.</t>
  </si>
  <si>
    <t>2</t>
  </si>
  <si>
    <t>Complete ATS provider field where visible on the careers page.</t>
  </si>
  <si>
    <t>3</t>
  </si>
  <si>
    <t>Start with P1 + P2 only when manually adding the first 50 jobs.</t>
  </si>
  <si>
    <t>4</t>
  </si>
  <si>
    <t>Use LinkedIn/Impactpool/Devex only for discovery, then verify on official employer page.</t>
  </si>
  <si>
    <t>5</t>
  </si>
  <si>
    <t>Move stale logo-map companies to the triage sheet; do not publish unverified sources.</t>
  </si>
  <si>
    <t>Research notes and public sources used</t>
  </si>
  <si>
    <t>User project summary</t>
  </si>
  <si>
    <t>Project summary uploaded in the current ChatGPT conversation</t>
  </si>
  <si>
    <t>Fuller logo-map reference</t>
  </si>
  <si>
    <t>https://x.com/AfricaBiz2020/status/1049230693165928448</t>
  </si>
  <si>
    <t>AVCA 2025 African Private Capital Activity Report</t>
  </si>
  <si>
    <t>https://www.avca.africa/data-intelligence/research-publications/2025-african-private-capital-activity-report/</t>
  </si>
  <si>
    <t>PEA 2025 Shortlist</t>
  </si>
  <si>
    <t>https://peafricaawards.com/pea-2025-shortlist/</t>
  </si>
  <si>
    <t>Alterra official website</t>
  </si>
  <si>
    <t>https://alterracapital.com/</t>
  </si>
  <si>
    <t>AVCA Alterra first-close note</t>
  </si>
  <si>
    <t>https://www.avca.africa/news-insights/member-news/alterra-has-announced-the-first-close-for-the-alterra-africa-accelerator-fund-aaa-fund/</t>
  </si>
  <si>
    <t>ID</t>
  </si>
  <si>
    <t>V1 Decision</t>
  </si>
  <si>
    <t>Priority</t>
  </si>
  <si>
    <t>Company Name</t>
  </si>
  <si>
    <t>Source Category</t>
  </si>
  <si>
    <t>Role Type Tags</t>
  </si>
  <si>
    <t>Primary Geography</t>
  </si>
  <si>
    <t>Key Countries / Offices</t>
  </si>
  <si>
    <t>Website</t>
  </si>
  <si>
    <t>Career Page URL</t>
  </si>
  <si>
    <t>ATS Provider</t>
  </si>
  <si>
    <t>Career Source Quality</t>
  </si>
  <si>
    <t>Official Source Status</t>
  </si>
  <si>
    <t>Logo Map?</t>
  </si>
  <si>
    <t>Manual Verification Status</t>
  </si>
  <si>
    <t>Last Checked</t>
  </si>
  <si>
    <t>Next Action</t>
  </si>
  <si>
    <t>Notes</t>
  </si>
  <si>
    <t>Source URL</t>
  </si>
  <si>
    <t>Include</t>
  </si>
  <si>
    <t>P1</t>
  </si>
  <si>
    <t>Actis</t>
  </si>
  <si>
    <t>Infrastructure; PE; Sustainable investments</t>
  </si>
  <si>
    <t>Africa + global growth markets</t>
  </si>
  <si>
    <t>Pan-African; South Africa; Egypt; Nigeria; Kenya</t>
  </si>
  <si>
    <t>https://www.act.is</t>
  </si>
  <si>
    <t>https://www.act.is/careers/</t>
  </si>
  <si>
    <t>To identify</t>
  </si>
  <si>
    <t>Official careers page found</t>
  </si>
  <si>
    <t>Active</t>
  </si>
  <si>
    <t>Yes</t>
  </si>
  <si>
    <t>To verify</t>
  </si>
  <si>
    <t>Check jobs weekly</t>
  </si>
  <si>
    <t>Large global emerging-markets investor; relevant but only Africa-linked roles should be published.</t>
  </si>
  <si>
    <t>Helios Investment Partners</t>
  </si>
  <si>
    <t>Private Equity; Portfolio Operations; Value Creation</t>
  </si>
  <si>
    <t>Pan-African</t>
  </si>
  <si>
    <t>Nigeria; Kenya; Morocco; Ghana; South Africa; pan-African</t>
  </si>
  <si>
    <t>https://www.heliosinvestment.com</t>
  </si>
  <si>
    <t>Official website only</t>
  </si>
  <si>
    <t>Find careers page</t>
  </si>
  <si>
    <t>Top Africa-focused PE platform; high-quality target source.</t>
  </si>
  <si>
    <t>Development Partners International (DPI)</t>
  </si>
  <si>
    <t>Private Equity; Growth Equity; Portfolio Operations</t>
  </si>
  <si>
    <t>Africa-wide; Egypt; Kenya; Nigeria; Morocco</t>
  </si>
  <si>
    <t>https://www.dpi-llp.com</t>
  </si>
  <si>
    <t>Core Africa PE fund manager; use official site + LinkedIn for discovery, then verify.</t>
  </si>
  <si>
    <t>AfricInvest</t>
  </si>
  <si>
    <t>Private Equity; VC; Financial Services</t>
  </si>
  <si>
    <t>Pan-African + North Africa</t>
  </si>
  <si>
    <t>Tunisia; Morocco; Côte d’Ivoire; Kenya; Nigeria; Egypt</t>
  </si>
  <si>
    <t>https://www.africinvest.com</t>
  </si>
  <si>
    <t>Strong pan-African platform; important for French/English Africa roles.</t>
  </si>
  <si>
    <t>Amethis</t>
  </si>
  <si>
    <t>Private Equity; Impact Investing; Portfolio Operations</t>
  </si>
  <si>
    <t>Africa + Europe</t>
  </si>
  <si>
    <t>Côte d’Ivoire; Morocco; Kenya; Egypt; South Africa</t>
  </si>
  <si>
    <t>https://amethis.com</t>
  </si>
  <si>
    <t>Very relevant for French-speaking Africa and pan-African PE.</t>
  </si>
  <si>
    <t>Adenia Partners</t>
  </si>
  <si>
    <t>Private Equity; Control Investments; Portfolio Operations</t>
  </si>
  <si>
    <t>Mauritius; Côte d’Ivoire; Kenya; Ghana; Egypt; Morocco</t>
  </si>
  <si>
    <t>https://www.adenia.com</t>
  </si>
  <si>
    <t>Africa-focused control investor; relevant for investment and portfolio roles.</t>
  </si>
  <si>
    <t>Alterra Capital Partners</t>
  </si>
  <si>
    <t>Johannesburg; Nairobi; Mauritius; East Africa; Southern Africa</t>
  </si>
  <si>
    <t>https://alterracapital.com</t>
  </si>
  <si>
    <t>No</t>
  </si>
  <si>
    <t>Important missing firm; formed by former Carlyle Africa team and should replace Carlyle Africa in V1.</t>
  </si>
  <si>
    <t>Emerging Capital Partners (ECP)</t>
  </si>
  <si>
    <t>Private Equity; Growth Equity</t>
  </si>
  <si>
    <t>West Africa; North Africa; pan-African</t>
  </si>
  <si>
    <t>https://www.ecpinvestments.com</t>
  </si>
  <si>
    <t>Active - verify</t>
  </si>
  <si>
    <t>Legacy leading Africa PE name; verify current hiring/source quality before publication.</t>
  </si>
  <si>
    <t>Verod Capital Management</t>
  </si>
  <si>
    <t>Private Equity; Growth Equity; West Africa</t>
  </si>
  <si>
    <t>West Africa</t>
  </si>
  <si>
    <t>Nigeria; Ghana; West Africa</t>
  </si>
  <si>
    <t>https://verod.com</t>
  </si>
  <si>
    <t>Strong West Africa PE source; good candidate for Nigeria/Ghana roles.</t>
  </si>
  <si>
    <t>Ethos Private Equity</t>
  </si>
  <si>
    <t>Private Equity; South Africa; Portfolio Operations</t>
  </si>
  <si>
    <t>Southern Africa</t>
  </si>
  <si>
    <t>South Africa; Sub-Saharan Africa</t>
  </si>
  <si>
    <t>https://www.ethos.co.za</t>
  </si>
  <si>
    <t>Large South African PE platform; include only premium Africa finance/investment roles.</t>
  </si>
  <si>
    <t>P2</t>
  </si>
  <si>
    <t>Metier</t>
  </si>
  <si>
    <t>Private Equity; Sustainable Capital; Infrastructure</t>
  </si>
  <si>
    <t>Southern Africa + Sub-Saharan Africa</t>
  </si>
  <si>
    <t>South Africa; SSA</t>
  </si>
  <si>
    <t>https://www.metier.co.za</t>
  </si>
  <si>
    <t>Relevant PE/sustainable capital manager; good P2 source.</t>
  </si>
  <si>
    <t>Tana Africa Capital</t>
  </si>
  <si>
    <t>Private Equity; Consumer; Growth Equity</t>
  </si>
  <si>
    <t>Sub-Saharan Africa</t>
  </si>
  <si>
    <t>https://www.tanaafrica.com</t>
  </si>
  <si>
    <t>Africa-focused investment company backed by strong institutions; likely low job volume.</t>
  </si>
  <si>
    <t>Phatisa</t>
  </si>
  <si>
    <t>Private Equity; Food; Agriculture; Impact</t>
  </si>
  <si>
    <t>South Africa; East Africa; West Africa</t>
  </si>
  <si>
    <t>https://www.phatisa.com</t>
  </si>
  <si>
    <t>Food/agri PE; relevant but job flow may be limited.</t>
  </si>
  <si>
    <t>African Capital Alliance (ACA)</t>
  </si>
  <si>
    <t>Private Equity; West Africa; Growth Equity</t>
  </si>
  <si>
    <t>https://www.aca-web.com</t>
  </si>
  <si>
    <t>Large West Africa PE manager; good source for Nigeria-based roles.</t>
  </si>
  <si>
    <t>SPE Capital</t>
  </si>
  <si>
    <t>Private Equity; North Africa; Sub-Saharan Africa</t>
  </si>
  <si>
    <t>North + Sub-Saharan Africa</t>
  </si>
  <si>
    <t>Morocco; Tunisia; Egypt; Côte d’Ivoire; SSA</t>
  </si>
  <si>
    <t>https://www.spe-capital.com</t>
  </si>
  <si>
    <t>Highly relevant mid-market PE platform for North/West Africa.</t>
  </si>
  <si>
    <t>Mediterrania Capital Partners</t>
  </si>
  <si>
    <t>Private Equity; North Africa; Healthcare; Education</t>
  </si>
  <si>
    <t>North Africa + West Africa</t>
  </si>
  <si>
    <t>Morocco; Tunisia; Egypt; Côte d’Ivoire</t>
  </si>
  <si>
    <t>https://www.mcapitalp.com</t>
  </si>
  <si>
    <t>Relevant North/Francophone Africa PE source.</t>
  </si>
  <si>
    <t>Vantage Capital</t>
  </si>
  <si>
    <t>Private Credit; Mezzanine; Growth Finance</t>
  </si>
  <si>
    <t>South Africa; Ghana; Nigeria; SSA</t>
  </si>
  <si>
    <t>https://www.vantagecapital.co.za</t>
  </si>
  <si>
    <t>Good private credit/mezzanine target; roles are finance/investment-heavy.</t>
  </si>
  <si>
    <t>Capitalworks</t>
  </si>
  <si>
    <t>Private Equity; Southern Africa</t>
  </si>
  <si>
    <t>https://www.capitalworksip.com</t>
  </si>
  <si>
    <t>Relevant South African private capital manager; verify job flow.</t>
  </si>
  <si>
    <t>Catalyst Principal Partners</t>
  </si>
  <si>
    <t>Private Equity; East Africa</t>
  </si>
  <si>
    <t>East Africa</t>
  </si>
  <si>
    <t>Kenya; Tanzania; Uganda; Ethiopia</t>
  </si>
  <si>
    <t>https://www.catalystprincipal.com</t>
  </si>
  <si>
    <t>East Africa PE source; useful for regional coverage.</t>
  </si>
  <si>
    <t>CardinalStone Capital Advisers</t>
  </si>
  <si>
    <t>Private Equity; Nigeria; Financial Services</t>
  </si>
  <si>
    <t>https://www.cardinalstone.com</t>
  </si>
  <si>
    <t>Nigeria-focused private capital; verify official investment-career source.</t>
  </si>
  <si>
    <t>P3</t>
  </si>
  <si>
    <t>Inside Capital Partners</t>
  </si>
  <si>
    <t>Private Equity; SME; Southern Africa</t>
  </si>
  <si>
    <t>Zambia; Mauritius; Southern Africa</t>
  </si>
  <si>
    <t>https://insidecapitalpartners.com</t>
  </si>
  <si>
    <t>Smaller PE source; keep as P3 unless jobs appear regularly.</t>
  </si>
  <si>
    <t>Adiwale Partners</t>
  </si>
  <si>
    <t>Private Equity; SME; Francophone West Africa</t>
  </si>
  <si>
    <t>Côte d’Ivoire; Senegal; Burkina Faso; Mali</t>
  </si>
  <si>
    <t>https://www.adiwale.com</t>
  </si>
  <si>
    <t>Important Francophone West Africa SME PE source.</t>
  </si>
  <si>
    <t>Uhuru Investment Partners</t>
  </si>
  <si>
    <t>Private Equity; West Africa; Control/Growth</t>
  </si>
  <si>
    <t>Ghana; Nigeria; Côte d’Ivoire</t>
  </si>
  <si>
    <t>https://www.uhuruinvestmentpartners.com</t>
  </si>
  <si>
    <t>Relevant emerging PE manager; good replacement/addition beyond old logo map.</t>
  </si>
  <si>
    <t>Ascent Capital Africa</t>
  </si>
  <si>
    <t>Private Equity; East Africa; SME</t>
  </si>
  <si>
    <t>Kenya; Uganda; Ethiopia</t>
  </si>
  <si>
    <t>https://www.ascent.capital</t>
  </si>
  <si>
    <t>East Africa SME/growth PE source; good for regional roles.</t>
  </si>
  <si>
    <t>XSML Capital</t>
  </si>
  <si>
    <t>Private Equity; SME; Central/East Africa</t>
  </si>
  <si>
    <t>Central + East Africa</t>
  </si>
  <si>
    <t>DRC; Uganda; Congo; East Africa</t>
  </si>
  <si>
    <t>https://www.xsmlcapital.com</t>
  </si>
  <si>
    <t>Useful for frontier markets; likely low job frequency.</t>
  </si>
  <si>
    <t>Cauris Management</t>
  </si>
  <si>
    <t>Private Equity; Francophone West Africa</t>
  </si>
  <si>
    <t>Togo; Côte d’Ivoire; Senegal; Benin</t>
  </si>
  <si>
    <t>https://www.caurismanagement.com</t>
  </si>
  <si>
    <t>Long-standing Francophone West Africa PE manager.</t>
  </si>
  <si>
    <t>Sahel Capital</t>
  </si>
  <si>
    <t>Private Equity; Agriculture; Nigeria</t>
  </si>
  <si>
    <t>Nigeria; West Africa</t>
  </si>
  <si>
    <t>https://sahelcp.com</t>
  </si>
  <si>
    <t>Agri/food private capital source; relevant but niche.</t>
  </si>
  <si>
    <t>AFIG Funds</t>
  </si>
  <si>
    <t>Private Equity; West Africa; SME</t>
  </si>
  <si>
    <t>Senegal; Ghana; Côte d’Ivoire; West Africa</t>
  </si>
  <si>
    <t>https://afigfunds.com</t>
  </si>
  <si>
    <t>West Africa PE manager; include but verify current job source.</t>
  </si>
  <si>
    <t>African Infrastructure Investment Managers (AIIM)</t>
  </si>
  <si>
    <t>Infrastructure; Project Finance; Portfolio Operations</t>
  </si>
  <si>
    <t>South Africa; Kenya; Nigeria; pan-African</t>
  </si>
  <si>
    <t>https://aiimafrica.com</t>
  </si>
  <si>
    <t>Core infrastructure investment manager; high relevance.</t>
  </si>
  <si>
    <t>Africa50</t>
  </si>
  <si>
    <t>Infrastructure; Project Development; Project Finance</t>
  </si>
  <si>
    <t>Morocco; pan-African</t>
  </si>
  <si>
    <t>https://www.africa50.com</t>
  </si>
  <si>
    <t>https://www.africa50.com/careers/</t>
  </si>
  <si>
    <t>Top target for infrastructure/project finance Africa roles.</t>
  </si>
  <si>
    <t>Africa Finance Corporation (AFC)</t>
  </si>
  <si>
    <t>Infrastructure; Project Finance; DFI</t>
  </si>
  <si>
    <t>Nigeria; pan-African</t>
  </si>
  <si>
    <t>https://www.africafc.org</t>
  </si>
  <si>
    <t>Premium Africa infrastructure-finance employer.</t>
  </si>
  <si>
    <t>Harith General Partners</t>
  </si>
  <si>
    <t>Infrastructure; Project Finance; PE</t>
  </si>
  <si>
    <t>South Africa; pan-African</t>
  </si>
  <si>
    <t>https://www.harith.co.za</t>
  </si>
  <si>
    <t>Infrastructure private equity; appears on logo map and remains relevant after verification.</t>
  </si>
  <si>
    <t>ARM-Harith Infrastructure Investments</t>
  </si>
  <si>
    <t>Infrastructure; Project Finance; West Africa</t>
  </si>
  <si>
    <t>https://www.armharith.com</t>
  </si>
  <si>
    <t>Nigeria/West Africa infrastructure investor; useful regional source.</t>
  </si>
  <si>
    <t>Pembani Remgro Infrastructure Managers</t>
  </si>
  <si>
    <t>Infrastructure; Project Finance; Private Equity</t>
  </si>
  <si>
    <t>https://www.pembani-remgro.com</t>
  </si>
  <si>
    <t>Relevant infrastructure fund manager; verify current career source.</t>
  </si>
  <si>
    <t>Meridiam</t>
  </si>
  <si>
    <t>Infrastructure; Project Finance; PPP; Impact</t>
  </si>
  <si>
    <t>Africa + global</t>
  </si>
  <si>
    <t>Africa-wide; Senegal; Ethiopia; Côte d’Ivoire; global</t>
  </si>
  <si>
    <t>https://www.meridiam.com</t>
  </si>
  <si>
    <t>High-quality global infrastructure investor with African assets; include Africa-linked roles only.</t>
  </si>
  <si>
    <t>ARCH Emerging Markets Partners</t>
  </si>
  <si>
    <t>Infrastructure; Private Equity; Cold Chain; EM</t>
  </si>
  <si>
    <t>Emerging markets incl. Africa</t>
  </si>
  <si>
    <t>East Africa; SSA; emerging markets</t>
  </si>
  <si>
    <t>https://archempartners.com</t>
  </si>
  <si>
    <t>Relevant for infrastructure/real assets and Africa mandates.</t>
  </si>
  <si>
    <t>Inspired Evolution</t>
  </si>
  <si>
    <t>Clean Energy; Climate Finance; Infrastructure</t>
  </si>
  <si>
    <t>South Africa; Kenya; East/Southern Africa</t>
  </si>
  <si>
    <t>https://inspiredevolution.co.za</t>
  </si>
  <si>
    <t>Strong climate/clean energy private capital source.</t>
  </si>
  <si>
    <t>Berkeley Energy</t>
  </si>
  <si>
    <t>Renewable Energy; Infrastructure; Project Finance</t>
  </si>
  <si>
    <t>East Africa; West Africa; global EM</t>
  </si>
  <si>
    <t>https://berkeley-energy.com</t>
  </si>
  <si>
    <t>Renewable infrastructure manager; good climate finance source.</t>
  </si>
  <si>
    <t>Climate Fund Managers</t>
  </si>
  <si>
    <t>Climate Finance; Blended Finance; Infrastructure</t>
  </si>
  <si>
    <t>Africa; Asia; Latin America</t>
  </si>
  <si>
    <t>https://www.climatefundmanagers.com</t>
  </si>
  <si>
    <t>Highly relevant climate/blended finance platform.</t>
  </si>
  <si>
    <t>InfraCo Africa</t>
  </si>
  <si>
    <t>Project Development; Infrastructure; DFI</t>
  </si>
  <si>
    <t>SSA; UK; Africa project markets</t>
  </si>
  <si>
    <t>https://infracoafrica.com</t>
  </si>
  <si>
    <t>Project development roles can be very relevant for platform.</t>
  </si>
  <si>
    <t>Private Infrastructure Development Group (PIDG)</t>
  </si>
  <si>
    <t>Infrastructure; Project Finance; Development Finance</t>
  </si>
  <si>
    <t>Africa; Asia</t>
  </si>
  <si>
    <t>https://www.pidg.org</t>
  </si>
  <si>
    <t>Parent/source for InfraCo Africa and GuarantCo; strong infrastructure pipeline relevance.</t>
  </si>
  <si>
    <t>Gridworks</t>
  </si>
  <si>
    <t>Power; Energy Infrastructure; DFI-backed</t>
  </si>
  <si>
    <t>Africa</t>
  </si>
  <si>
    <t>Africa-wide; UK</t>
  </si>
  <si>
    <t>https://gridworks.co</t>
  </si>
  <si>
    <t>BII-backed platform focused on African electricity networks.</t>
  </si>
  <si>
    <t>CrossBoundary Energy</t>
  </si>
  <si>
    <t>Renewable Energy; Project Finance; C&amp;I Solar</t>
  </si>
  <si>
    <t>Kenya; Nigeria; South Africa; pan-African</t>
  </si>
  <si>
    <t>https://crossboundary.com/energy/</t>
  </si>
  <si>
    <t>Very relevant for climate/project finance roles; may use group careers page.</t>
  </si>
  <si>
    <t>A.P. Moller Capital</t>
  </si>
  <si>
    <t>Infrastructure; Transport; Logistics; Growth Equity</t>
  </si>
  <si>
    <t>Africa; Middle East; South Asia</t>
  </si>
  <si>
    <t>https://apmollercapital.com</t>
  </si>
  <si>
    <t>High-quality Africa infrastructure investor; include only Africa-linked roles.</t>
  </si>
  <si>
    <t>Ninety One</t>
  </si>
  <si>
    <t>Credit; Infrastructure Credit; Emerging Markets</t>
  </si>
  <si>
    <t>South Africa; UK; global</t>
  </si>
  <si>
    <t>https://ninetyone.com</t>
  </si>
  <si>
    <t>Monitor only</t>
  </si>
  <si>
    <t>Relevant but broad asset manager; publish only Africa private markets roles.</t>
  </si>
  <si>
    <t>International Finance Corporation (IFC)</t>
  </si>
  <si>
    <t>DFI; Investment Officer; Private Sector Development</t>
  </si>
  <si>
    <t>Global incl. Africa</t>
  </si>
  <si>
    <t>Africa-wide; Washington DC; regional hubs</t>
  </si>
  <si>
    <t>https://www.ifc.org</t>
  </si>
  <si>
    <t>https://www.ifc.org/en/about/careers</t>
  </si>
  <si>
    <t>Core DFI/MDB target; high-quality Africa investment roles.</t>
  </si>
  <si>
    <t>African Development Bank (AfDB)</t>
  </si>
  <si>
    <t>DFI; Infrastructure; Investment; Strategy</t>
  </si>
  <si>
    <t>Africa-wide</t>
  </si>
  <si>
    <t>Côte d’Ivoire; regional offices</t>
  </si>
  <si>
    <t>https://www.afdb.org</t>
  </si>
  <si>
    <t>https://www.afdb.org/en/about-careers/current-vacancies</t>
  </si>
  <si>
    <t>Must-have source for Africa development finance and infrastructure roles.</t>
  </si>
  <si>
    <t>Proparco</t>
  </si>
  <si>
    <t>DFI; Private Equity Funds; Project Finance</t>
  </si>
  <si>
    <t>Africa + emerging markets</t>
  </si>
  <si>
    <t>France; Africa-wide</t>
  </si>
  <si>
    <t>https://www.proparco.fr</t>
  </si>
  <si>
    <t>Important Francophone Africa DFI source.</t>
  </si>
  <si>
    <t>British International Investment (BII)</t>
  </si>
  <si>
    <t>DFI; Private Equity; Infrastructure; Climate</t>
  </si>
  <si>
    <t>Africa + South Asia</t>
  </si>
  <si>
    <t>UK; Africa-wide</t>
  </si>
  <si>
    <t>https://www.bii.co.uk</t>
  </si>
  <si>
    <t>https://www.bii.co.uk/en/careers/current-vacancies/</t>
  </si>
  <si>
    <t>Top source for PE funds, direct equity and infrastructure roles.</t>
  </si>
  <si>
    <t>DEG - Deutsche Investitions- und Entwicklungsgesellschaft</t>
  </si>
  <si>
    <t>DFI; Investment; Risk; ESG</t>
  </si>
  <si>
    <t>Germany; Africa-wide</t>
  </si>
  <si>
    <t>https://www.deginvest.de</t>
  </si>
  <si>
    <t>Important German DFI; relevant for investment analyst/manager roles.</t>
  </si>
  <si>
    <t>FMO</t>
  </si>
  <si>
    <t>DFI; Private Equity; Financial Institutions; Energy</t>
  </si>
  <si>
    <t>Netherlands; Africa-wide</t>
  </si>
  <si>
    <t>https://www.fmo.nl</t>
  </si>
  <si>
    <t>https://www.fmo.nl/careers</t>
  </si>
  <si>
    <t>Core European DFI with Africa exposure.</t>
  </si>
  <si>
    <t>Norfund</t>
  </si>
  <si>
    <t>DFI; Renewable Energy; Financial Inclusion; PE</t>
  </si>
  <si>
    <t>Norway; Africa-wide</t>
  </si>
  <si>
    <t>https://www.norfund.no</t>
  </si>
  <si>
    <t>https://www.norfund.no/careers/</t>
  </si>
  <si>
    <t>Good source for investment roles across Africa.</t>
  </si>
  <si>
    <t>Swedfund</t>
  </si>
  <si>
    <t>DFI; Investment; Impact; ESG</t>
  </si>
  <si>
    <t>Sweden; Africa-wide</t>
  </si>
  <si>
    <t>https://www.swedfund.se</t>
  </si>
  <si>
    <t>https://www.swedfund.se/en/career/</t>
  </si>
  <si>
    <t>Relevant DFI source; likely lower job volume.</t>
  </si>
  <si>
    <t>Finnfund</t>
  </si>
  <si>
    <t>DFI; Climate; Forestry; Financial Institutions</t>
  </si>
  <si>
    <t>Finland; Africa-wide</t>
  </si>
  <si>
    <t>https://www.finnfund.fi</t>
  </si>
  <si>
    <t>https://www.finnfund.fi/en/careers/</t>
  </si>
  <si>
    <t>Good DFI/climate finance source.</t>
  </si>
  <si>
    <t>IFU - Investment Fund for Developing Countries</t>
  </si>
  <si>
    <t>DFI; Private Equity; Climate; Sustainable Investments</t>
  </si>
  <si>
    <t>Denmark; Africa-wide</t>
  </si>
  <si>
    <t>https://www.ifu.dk</t>
  </si>
  <si>
    <t>https://www.ifu.dk/en/career/</t>
  </si>
  <si>
    <t>Relevant Nordic DFI; include Africa-linked investment roles.</t>
  </si>
  <si>
    <t>BIO Invest</t>
  </si>
  <si>
    <t>DFI; SME Finance; Private Equity; Impact</t>
  </si>
  <si>
    <t>Belgium; Africa-wide</t>
  </si>
  <si>
    <t>https://www.bio-invest.be</t>
  </si>
  <si>
    <t>https://www.bio-invest.be/en/about-us/careers/</t>
  </si>
  <si>
    <t>Belgian DFI; good for investment/impact roles.</t>
  </si>
  <si>
    <t>EIB Global</t>
  </si>
  <si>
    <t>DFI; Infrastructure; Climate; Project Finance</t>
  </si>
  <si>
    <t>Luxembourg; Africa-wide</t>
  </si>
  <si>
    <t>https://www.eib.org</t>
  </si>
  <si>
    <t>https://www.eib.org/en/about/careers/index</t>
  </si>
  <si>
    <t>Large multilateral; filter for Africa/private sector/infrastructure roles.</t>
  </si>
  <si>
    <t>European Bank for Reconstruction and Development (EBRD)</t>
  </si>
  <si>
    <t>DFI; Investment; North Africa; Infrastructure</t>
  </si>
  <si>
    <t>North Africa + EM</t>
  </si>
  <si>
    <t>Egypt; Morocco; Tunisia; global EM</t>
  </si>
  <si>
    <t>https://www.ebrd.com</t>
  </si>
  <si>
    <t>https://www.ebrd.com/careers.html</t>
  </si>
  <si>
    <t>Relevant for North Africa and private-sector investment roles.</t>
  </si>
  <si>
    <t>OPEC Fund</t>
  </si>
  <si>
    <t>Development Finance; Infrastructure; Energy</t>
  </si>
  <si>
    <t>Global South incl. Africa</t>
  </si>
  <si>
    <t>Austria; Africa-wide</t>
  </si>
  <si>
    <t>https://opecfund.org</t>
  </si>
  <si>
    <t>https://opecfund.org/careers</t>
  </si>
  <si>
    <t>Relevant development finance source with Africa mandates.</t>
  </si>
  <si>
    <t>Trade and Development Bank Group (TDB Group)</t>
  </si>
  <si>
    <t>Trade Finance; Infrastructure Finance; DFI</t>
  </si>
  <si>
    <t>Eastern + Southern Africa</t>
  </si>
  <si>
    <t>Kenya; Mauritius; East/Southern Africa</t>
  </si>
  <si>
    <t>https://www.tdbgroup.org</t>
  </si>
  <si>
    <t>Regional DFI/bank; relevant for investment/structured finance roles.</t>
  </si>
  <si>
    <t>Afreximbank</t>
  </si>
  <si>
    <t>Trade Finance; Project Finance; Structured Finance</t>
  </si>
  <si>
    <t>Egypt; Nigeria; Côte d’Ivoire; Zimbabwe; pan-African</t>
  </si>
  <si>
    <t>https://www.afreximbank.com</t>
  </si>
  <si>
    <t>Premium pan-African finance institution; very relevant roles.</t>
  </si>
  <si>
    <t>MIGA - World Bank Group</t>
  </si>
  <si>
    <t>Political Risk Insurance; Infrastructure; Investment</t>
  </si>
  <si>
    <t>Washington DC; Africa-wide</t>
  </si>
  <si>
    <t>https://www.miga.org</t>
  </si>
  <si>
    <t>Relevant for infrastructure/project finance risk roles; use WBG jobs source.</t>
  </si>
  <si>
    <t>Partech Africa</t>
  </si>
  <si>
    <t>Venture Capital; Growth Equity; Tech</t>
  </si>
  <si>
    <t>Dakar; Nairobi; Lagos; global</t>
  </si>
  <si>
    <t>https://partechpartners.com/strategy/africa</t>
  </si>
  <si>
    <t>Top Africa VC platform; strong discovery source for VC roles.</t>
  </si>
  <si>
    <t>TLcom Capital</t>
  </si>
  <si>
    <t>Lagos; Nairobi; London; pan-African</t>
  </si>
  <si>
    <t>https://tlcomcapital.com</t>
  </si>
  <si>
    <t>Core Africa VC source; high relevance.</t>
  </si>
  <si>
    <t>Novastar Ventures</t>
  </si>
  <si>
    <t>Venture Capital; Impact; Climate; Tech</t>
  </si>
  <si>
    <t>Kenya; Nigeria; pan-African</t>
  </si>
  <si>
    <t>https://novastarventures.com</t>
  </si>
  <si>
    <t>Good source for impact/growth roles in Africa tech.</t>
  </si>
  <si>
    <t>Ventures Platform</t>
  </si>
  <si>
    <t>Venture Capital; Early Stage; Tech</t>
  </si>
  <si>
    <t>https://venturesplatform.com</t>
  </si>
  <si>
    <t>Top Nigeria/Africa VC platform.</t>
  </si>
  <si>
    <t>Norrsken22</t>
  </si>
  <si>
    <t>Growth Equity; Tech; Venture Capital</t>
  </si>
  <si>
    <t>South Africa; Nigeria; Kenya; Ghana; pan-African</t>
  </si>
  <si>
    <t>https://norrsken22.com</t>
  </si>
  <si>
    <t>High-quality growth-stage tech investor; relevant for investment roles.</t>
  </si>
  <si>
    <t>Enza Capital</t>
  </si>
  <si>
    <t>Venture Capital; Fintech; Growth</t>
  </si>
  <si>
    <t>Kenya; South Africa; Nigeria; pan-African</t>
  </si>
  <si>
    <t>https://www.enzacapital.com</t>
  </si>
  <si>
    <t>Africa-focused VC; likely low volume but strong relevance.</t>
  </si>
  <si>
    <t>Launch Africa Ventures</t>
  </si>
  <si>
    <t>https://www.launchafrica.vc</t>
  </si>
  <si>
    <t>Africa early-stage VC; useful for VC coverage.</t>
  </si>
  <si>
    <t>4DX Ventures</t>
  </si>
  <si>
    <t>Venture Capital; Fintech; Tech</t>
  </si>
  <si>
    <t>Ghana; Nigeria; Kenya; Egypt; pan-African</t>
  </si>
  <si>
    <t>https://www.4dxventures.com</t>
  </si>
  <si>
    <t>Africa-focused VC; high relevance but limited hiring volume.</t>
  </si>
  <si>
    <t>Oui Capital</t>
  </si>
  <si>
    <t>https://www.ouicapital.vc</t>
  </si>
  <si>
    <t>Africa-focused VC; good for discovery list.</t>
  </si>
  <si>
    <t>LoftyInc Capital Management</t>
  </si>
  <si>
    <t>Nigeria; US; pan-African</t>
  </si>
  <si>
    <t>https://loftyinc.vc</t>
  </si>
  <si>
    <t>Relevant Africa VC; verify official careers/source page.</t>
  </si>
  <si>
    <t>Future Africa</t>
  </si>
  <si>
    <t>Venture Capital; Tech; Africa</t>
  </si>
  <si>
    <t>https://future.africa</t>
  </si>
  <si>
    <t>Relevant Africa VC source.</t>
  </si>
  <si>
    <t>Janngo Capital</t>
  </si>
  <si>
    <t>Venture Capital; Gender Lens; Tech</t>
  </si>
  <si>
    <t>Côte d’Ivoire; France; Africa-wide</t>
  </si>
  <si>
    <t>https://www.janngo.com</t>
  </si>
  <si>
    <t>Important VC/impact investor for Francophone Africa.</t>
  </si>
  <si>
    <t>Seedstars Africa Ventures</t>
  </si>
  <si>
    <t>Venture Capital; Seed; Emerging Markets</t>
  </si>
  <si>
    <t>Africa-wide; Switzerland; France</t>
  </si>
  <si>
    <t>https://seedstarsafricaventures.com</t>
  </si>
  <si>
    <t>Relevant early-stage Africa VC; verify job source.</t>
  </si>
  <si>
    <t>Verod-Kepple Africa Ventures</t>
  </si>
  <si>
    <t>Nigeria; Kenya; pan-African</t>
  </si>
  <si>
    <t>https://vkav.vc</t>
  </si>
  <si>
    <t>Strong Africa VC; verify domain/career source during first sourcing pass.</t>
  </si>
  <si>
    <t>Flat6Labs</t>
  </si>
  <si>
    <t>Venture Capital; Accelerator; MENA/Africa</t>
  </si>
  <si>
    <t>North Africa + MENA</t>
  </si>
  <si>
    <t>Egypt; Tunisia; Morocco; regional</t>
  </si>
  <si>
    <t>https://www.flat6labs.com</t>
  </si>
  <si>
    <t>Useful for North Africa and MENA-Africa VC roles.</t>
  </si>
  <si>
    <t>Algebra Ventures</t>
  </si>
  <si>
    <t>Venture Capital; Egypt; Tech</t>
  </si>
  <si>
    <t>North Africa</t>
  </si>
  <si>
    <t>Egypt; North Africa</t>
  </si>
  <si>
    <t>https://www.algebraventures.com</t>
  </si>
  <si>
    <t>Egypt-focused VC; good North Africa coverage.</t>
  </si>
  <si>
    <t>Sawari Ventures</t>
  </si>
  <si>
    <t>https://sawariventures.com</t>
  </si>
  <si>
    <t>North Africa VC source; verify job flow.</t>
  </si>
  <si>
    <t>Accion Venture Lab</t>
  </si>
  <si>
    <t>Fintech VC; Financial Inclusion; Impact</t>
  </si>
  <si>
    <t>Africa fintech markets; global</t>
  </si>
  <si>
    <t>https://www.accion.org/venture-lab</t>
  </si>
  <si>
    <t>Relevant fintech-impact VC; include Africa-linked roles only.</t>
  </si>
  <si>
    <t>Alitheia Capital</t>
  </si>
  <si>
    <t>Gender Lens; Private Equity; Impact</t>
  </si>
  <si>
    <t>https://alitheiacapital.com</t>
  </si>
  <si>
    <t>Relevant gender-lens/private equity impact investor.</t>
  </si>
  <si>
    <t>Goodwell Investments</t>
  </si>
  <si>
    <t>Impact Investing; Financial Inclusion; Growth Equity</t>
  </si>
  <si>
    <t>Africa + India</t>
  </si>
  <si>
    <t>Kenya; Nigeria; South Africa; Ghana; Netherlands</t>
  </si>
  <si>
    <t>https://www.goodwell.nl</t>
  </si>
  <si>
    <t>High-quality impact/growth investor; relevant for platform.</t>
  </si>
  <si>
    <t>Acumen</t>
  </si>
  <si>
    <t>Impact Investing; Patient Capital; Climate</t>
  </si>
  <si>
    <t>East Africa; West Africa; global</t>
  </si>
  <si>
    <t>https://acumen.org</t>
  </si>
  <si>
    <t>Impact investing roles; include investment/portfolio roles only.</t>
  </si>
  <si>
    <t>AgDevCo</t>
  </si>
  <si>
    <t>Agriculture; Impact Investing; SME Finance</t>
  </si>
  <si>
    <t>Mozambique; Zambia; Ghana; Malawi; Tanzania; UK</t>
  </si>
  <si>
    <t>https://www.agdevco.com</t>
  </si>
  <si>
    <t>Agri-impact investor; good Africa source.</t>
  </si>
  <si>
    <t>BlueOrchard</t>
  </si>
  <si>
    <t>Impact Debt; Private Credit; Microfinance</t>
  </si>
  <si>
    <t>Africa-wide; Switzerland; global</t>
  </si>
  <si>
    <t>https://www.blueorchard.com</t>
  </si>
  <si>
    <t>Relevant impact/private credit source; include Africa-related roles only.</t>
  </si>
  <si>
    <t>responsAbility Investments</t>
  </si>
  <si>
    <t>Impact Debt; Climate Finance; Financial Inclusion</t>
  </si>
  <si>
    <t>https://www.responsability.com</t>
  </si>
  <si>
    <t>Relevant private debt/impact source with Africa exposure.</t>
  </si>
  <si>
    <t>Symbiotics</t>
  </si>
  <si>
    <t>Impact Debt; Microfinance; Investment Management</t>
  </si>
  <si>
    <t>https://symbioticsgroup.com</t>
  </si>
  <si>
    <t>Could provide premium impact finance roles, but broad global focus.</t>
  </si>
  <si>
    <t>GroFin</t>
  </si>
  <si>
    <t>SME Finance; Impact; Private Credit</t>
  </si>
  <si>
    <t>Africa + Middle East</t>
  </si>
  <si>
    <t>South Africa; Kenya; Ghana; Nigeria; Egypt</t>
  </si>
  <si>
    <t>https://www.grofin.com</t>
  </si>
  <si>
    <t>Relevant but verify current activity/job flow before treating as core source.</t>
  </si>
  <si>
    <t>Open Capital Advisors</t>
  </si>
  <si>
    <t>Strategy; Investment Advisory; Development Finance</t>
  </si>
  <si>
    <t>Kenya; Nigeria; Uganda; Zambia; West Africa</t>
  </si>
  <si>
    <t>https://opencapital.com</t>
  </si>
  <si>
    <t>High-quality advisory roles linked to investors/DFIs/startups in Africa.</t>
  </si>
  <si>
    <t>Dalberg Advisors</t>
  </si>
  <si>
    <t>Strategy Consulting; Development Finance; Impact</t>
  </si>
  <si>
    <t>Kenya; South Africa; Nigeria; Senegal; Ethiopia; global</t>
  </si>
  <si>
    <t>https://dalberg.com</t>
  </si>
  <si>
    <t>Relevant strategy/impact consulting source; include finance/investment-linked roles.</t>
  </si>
  <si>
    <t>CrossBoundary Group</t>
  </si>
  <si>
    <t>Investment Advisory; Project Finance; Energy; DFI Advisory</t>
  </si>
  <si>
    <t>Kenya; Nigeria; South Africa; Ghana; pan-African</t>
  </si>
  <si>
    <t>https://www.crossboundary.com</t>
  </si>
  <si>
    <t>Very relevant: investment advisory + energy/project finance + transaction roles.</t>
  </si>
  <si>
    <t>Lion's Head Global Partners</t>
  </si>
  <si>
    <t>Investment Banking; DFI Advisory; Climate Finance</t>
  </si>
  <si>
    <t>London; Nairobi; Africa-wide</t>
  </si>
  <si>
    <t>https://lionsheadglobalpartners.com</t>
  </si>
  <si>
    <t>Premium investment advisory/DFI/climate finance source.</t>
  </si>
  <si>
    <t>Verdant Capital</t>
  </si>
  <si>
    <t>Investment Banking; M&amp;A; Financial Institutions</t>
  </si>
  <si>
    <t>South Africa; Ghana; Mauritius; Africa-wide</t>
  </si>
  <si>
    <t>https://www.verdant-cap.com</t>
  </si>
  <si>
    <t>Africa-focused investment banking/advisory roles.</t>
  </si>
  <si>
    <t>SouthBridge Group</t>
  </si>
  <si>
    <t>Financial Advisory; Sovereign Advisory; Investment Banking</t>
  </si>
  <si>
    <t>Côte d’Ivoire; Rwanda; France; pan-African</t>
  </si>
  <si>
    <t>https://southbridge.com</t>
  </si>
  <si>
    <t>High-quality pan-African advisory platform; relevant for finance/strategy roles.</t>
  </si>
  <si>
    <t>RMB / Rand Merchant Bank</t>
  </si>
  <si>
    <t>Investment Banking; Project Finance; Infrastructure Finance</t>
  </si>
  <si>
    <t>Southern Africa + Africa</t>
  </si>
  <si>
    <t>South Africa; Nigeria; Kenya; Africa markets</t>
  </si>
  <si>
    <t>https://www.rmb.co.za</t>
  </si>
  <si>
    <t>Premium African investment banking/project finance source; publish Africa roles selectively.</t>
  </si>
  <si>
    <t>Standard Bank Corporate &amp; Investment Banking</t>
  </si>
  <si>
    <t>Investment Banking; Project Finance; DCM; M&amp;A</t>
  </si>
  <si>
    <t>South Africa; Nigeria; Kenya; Ghana; Côte d’Ivoire; Africa-wide</t>
  </si>
  <si>
    <t>https://corporateandinvestment.standardbank.com</t>
  </si>
  <si>
    <t>Major African CIB source; filter carefully for premium roles.</t>
  </si>
  <si>
    <t>M-KOPA</t>
  </si>
  <si>
    <t>Corporate Development; Strategic Finance; Fintech; Energy</t>
  </si>
  <si>
    <t>Kenya; Nigeria; Ghana; South Africa; UK</t>
  </si>
  <si>
    <t>https://m-kopa.com</t>
  </si>
  <si>
    <t>Use only for strategy, finance, corporate development, investment-type roles.</t>
  </si>
  <si>
    <t>Onafriq</t>
  </si>
  <si>
    <t>Corporate Development; Fintech; Strategy; Partnerships</t>
  </si>
  <si>
    <t>https://www.onafriq.com</t>
  </si>
  <si>
    <t>Formerly MFS Africa; relevant strategic finance/corp dev roles.</t>
  </si>
  <si>
    <t>IHS Towers</t>
  </si>
  <si>
    <t>Corporate Development; Infrastructure; Strategy; Finance</t>
  </si>
  <si>
    <t>Africa + LatAm + Middle East</t>
  </si>
  <si>
    <t>Nigeria; Côte d’Ivoire; Rwanda; Zambia; South Africa</t>
  </si>
  <si>
    <t>https://www.ihstowers.com</t>
  </si>
  <si>
    <t>Premium infrastructure corporate; include only strategy/corp dev/finance roles.</t>
  </si>
  <si>
    <t>Helios Towers</t>
  </si>
  <si>
    <t>Tanzania; Ghana; DRC; Senegal; South Africa; UK</t>
  </si>
  <si>
    <t>https://www.heliostowers.com</t>
  </si>
  <si>
    <t>Telecom infrastructure company; useful for corp dev/strategy roles.</t>
  </si>
  <si>
    <t>Logo Map Triage — companies to verify, monitor or exclude from V1</t>
  </si>
  <si>
    <t>Company / Logo Map Name</t>
  </si>
  <si>
    <t>Decision</t>
  </si>
  <si>
    <t>Reason</t>
  </si>
  <si>
    <t>Replacement / Better Source</t>
  </si>
  <si>
    <t>The Carlyle Group / Carlyle Africa</t>
  </si>
  <si>
    <t>Replace</t>
  </si>
  <si>
    <t>Carlyle Africa is legacy for this project; use Alterra Capital Partners instead for current Africa PE sourcing.</t>
  </si>
  <si>
    <t>Abraaj Group</t>
  </si>
  <si>
    <t>Exclude</t>
  </si>
  <si>
    <t>Defunct/legacy brand; do not use as current job source.</t>
  </si>
  <si>
    <t>None</t>
  </si>
  <si>
    <t>Aureos Capital</t>
  </si>
  <si>
    <t>Legacy brand; no longer suitable as a current source list company.</t>
  </si>
  <si>
    <t>RMB Westport</t>
  </si>
  <si>
    <t>May be legacy/rebranded/part of broader RMB ecosystem; use RMB/Rand Merchant Bank for verified roles first.</t>
  </si>
  <si>
    <t>Old Mutual Alternative Investments</t>
  </si>
  <si>
    <t>Potentially relevant asset manager, but broader than the platform promise; include only private markets/Africa roles after verification.</t>
  </si>
  <si>
    <t>Could be added later</t>
  </si>
  <si>
    <t>https://www.oldmutualalternatives.com</t>
  </si>
  <si>
    <t>Investec / Investec Alternative Investments</t>
  </si>
  <si>
    <t>Relevant but broad bank/asset manager; use selectively for Africa private capital roles.</t>
  </si>
  <si>
    <t>https://www.investec.com</t>
  </si>
  <si>
    <t>Brait</t>
  </si>
  <si>
    <t>Investment holding/company rather than recurring job source; not first-pass target unless corp dev/investment roles appear.</t>
  </si>
  <si>
    <t>https://www.brait.com</t>
  </si>
  <si>
    <t>STANLIB</t>
  </si>
  <si>
    <t>Asset manager; include only alternatives/private markets roles with clear premium relevance.</t>
  </si>
  <si>
    <t>https://stanlib.com</t>
  </si>
  <si>
    <t>One Thousand &amp; One Voices</t>
  </si>
  <si>
    <t>Impact investor but likely low job flow; verify current activity before adding to core list.</t>
  </si>
  <si>
    <t>https://www.1001vo.org</t>
  </si>
  <si>
    <t>Silk Invest</t>
  </si>
  <si>
    <t>Frontier/public markets manager; useful only for investment roles clearly linked to Africa.</t>
  </si>
  <si>
    <t>https://www.silkinvest.com</t>
  </si>
  <si>
    <t>MBO Capital Management</t>
  </si>
  <si>
    <t>Potential Nigeria PE/private capital source; verify current site/career activity first.</t>
  </si>
  <si>
    <t>https://mbocapital.com</t>
  </si>
  <si>
    <t>Mkoba Private Equity Fund</t>
  </si>
  <si>
    <t>Appears on old map, but verify current operating status and official source before inclusion.</t>
  </si>
  <si>
    <t>54 Capital</t>
  </si>
  <si>
    <t>Appears on old map; verify current status/job flow before inclusion.</t>
  </si>
  <si>
    <t>https://54capital.com</t>
  </si>
  <si>
    <t>Unique Venture Capital Management Company</t>
  </si>
  <si>
    <t>Potential local Ghana VC source, but likely low job flow and needs verification.</t>
  </si>
  <si>
    <t>Pearl Capital Partners</t>
  </si>
  <si>
    <t>Relevant agriculture/impact investor; not first 100 only because likely low job flow.</t>
  </si>
  <si>
    <t>https://pearlcapital.net</t>
  </si>
  <si>
    <t>Bamboo Capital Partners</t>
  </si>
  <si>
    <t>Impact investment platform; relevant but broad/global. Add later if Africa roles appear.</t>
  </si>
  <si>
    <t>https://www.bamboocp.com</t>
  </si>
  <si>
    <t>Vital Capital</t>
  </si>
  <si>
    <t>Impact/private equity platform; relevant but verify current hiring sources first.</t>
  </si>
  <si>
    <t>https://vital-capital.com</t>
  </si>
  <si>
    <t>Rockwood Private Equity</t>
  </si>
  <si>
    <t>South Africa private equity firm; verify job activity before adding to first 100.</t>
  </si>
  <si>
    <t>https://www.rockwoodpe.co.za</t>
  </si>
  <si>
    <t>Acorn Private Equity</t>
  </si>
  <si>
    <t>Relevant South African PE firm; likely lower job flow, verify before inclusion.</t>
  </si>
  <si>
    <t>https://www.acorn.co.za</t>
  </si>
  <si>
    <t>Bopa Moruo Private Equity</t>
  </si>
  <si>
    <t>https://www.bopamoruo.co.za</t>
  </si>
  <si>
    <t>Greenhouse</t>
  </si>
  <si>
    <t>Verified official website</t>
  </si>
  <si>
    <t>Lever</t>
  </si>
  <si>
    <t>Third-party discovery only</t>
  </si>
  <si>
    <t>Legacy / replaced</t>
  </si>
  <si>
    <t>Verified career page</t>
  </si>
  <si>
    <t>Add jobs manually</t>
  </si>
  <si>
    <t>Workday</t>
  </si>
  <si>
    <t>Unclear</t>
  </si>
  <si>
    <t>Watchlist</t>
  </si>
  <si>
    <t>Research ATS</t>
  </si>
  <si>
    <t>Teamtailor</t>
  </si>
  <si>
    <t>Excluded</t>
  </si>
  <si>
    <t>SmartRecruiters</t>
  </si>
  <si>
    <t>Exclude from V1</t>
  </si>
  <si>
    <t>BambooHR</t>
  </si>
  <si>
    <t>Personio</t>
  </si>
  <si>
    <t>Oracle</t>
  </si>
  <si>
    <t>SAP SuccessFactors</t>
  </si>
  <si>
    <t>Proprietary</t>
  </si>
  <si>
    <t>N/A</t>
  </si>
  <si>
    <t>Research-Enhanced Source List — Africa Finance &amp; Investment Careers Platform</t>
  </si>
  <si>
    <t>Original 100 organizations plus 55 researched high-conviction additions. Use Fit Score, Fit Tier and Publish Rule to keep the platform premium.</t>
  </si>
  <si>
    <t>Fit Score (1-5)</t>
  </si>
  <si>
    <t>Fit Tier</t>
  </si>
  <si>
    <t>Publish Rule</t>
  </si>
  <si>
    <t>Research Confidence</t>
  </si>
  <si>
    <t>Added in Research Round?</t>
  </si>
  <si>
    <t>Verification Notes</t>
  </si>
  <si>
    <t>Source 2 URL</t>
  </si>
  <si>
    <t>Original list</t>
  </si>
  <si>
    <t>Publish only investment, private capital, DFI, project finance, corporate development, strategy, portfolio/value creation or research roles. Exclude audit/admin/accounting/procurement/general operations.</t>
  </si>
  <si>
    <t>Original</t>
  </si>
  <si>
    <t>Original v1</t>
  </si>
  <si>
    <t>Needs refreshed source check before launch.</t>
  </si>
  <si>
    <t>LeapFrog Investments</t>
  </si>
  <si>
    <t>Private Equity; Impact Investing; Financial Services; Healthcare; Climate</t>
  </si>
  <si>
    <t>Africa + Asia</t>
  </si>
  <si>
    <t>South Africa; Kenya; Nigeria; Ghana; Africa-wide</t>
  </si>
  <si>
    <t>https://leapfroginvest.com</t>
  </si>
  <si>
    <t>Research-screened</t>
  </si>
  <si>
    <t>Find official careers/contact page; monitor LinkedIn/AVCA</t>
  </si>
  <si>
    <t>High-conviction Africa/Asia impact private equity platform; attractive for investment, portfolio and investor-solutions roles.</t>
  </si>
  <si>
    <t>Core fit</t>
  </si>
  <si>
    <t>Publish broadly if role is investment, private capital, portfolio/value creation, project finance, DFI/MDB, climate finance or strategy. Exclude admin/audit/accounting/procurement.</t>
  </si>
  <si>
    <t>High</t>
  </si>
  <si>
    <t>Yes - 2026-06-20</t>
  </si>
  <si>
    <t>Official site confirms Africa/Asia investment focus; careers page not clearly identified.</t>
  </si>
  <si>
    <t>Kuramo Capital Management</t>
  </si>
  <si>
    <t>Private Equity; Fund of Funds; Co-investments; Africa investment management</t>
  </si>
  <si>
    <t>Africa-focused</t>
  </si>
  <si>
    <t>Nigeria; Kenya; South Africa; pan-African</t>
  </si>
  <si>
    <t>https://kuramo.com</t>
  </si>
  <si>
    <t>Find careers page; monitor LinkedIn/AVCA</t>
  </si>
  <si>
    <t>Africa-focused investment manager; relevant for fund investment, portfolio and private capital roles.</t>
  </si>
  <si>
    <t>Official website identified; hiring source to verify.</t>
  </si>
  <si>
    <t>Convergence Partners</t>
  </si>
  <si>
    <t>Digital Infrastructure; TMT Private Equity; Infrastructure PE</t>
  </si>
  <si>
    <t>South Africa; Nigeria; Kenya; pan-African</t>
  </si>
  <si>
    <t>https://www.convergencepartners.com</t>
  </si>
  <si>
    <t>Monitor official website, LinkedIn and AVCA jobs</t>
  </si>
  <si>
    <t>Africa-focused digital infrastructure private equity manager; strong fit for investment/platform roles.</t>
  </si>
  <si>
    <t>Publish project finance, investment, corporate development, M&amp;A, asset management, PPP and infrastructure strategy roles only. Exclude engineering/operations unless finance-led.</t>
  </si>
  <si>
    <t>Official source confirms Africa TMT/infrastructure investment focus.</t>
  </si>
  <si>
    <t>https://www.convergencepartners.com/about</t>
  </si>
  <si>
    <t>Kasada Capital Management</t>
  </si>
  <si>
    <t>Real Estate Private Equity; Hospitality; Portfolio Operations</t>
  </si>
  <si>
    <t>South Africa; Kenya; Côte d’Ivoire; Rwanda; Senegal; pan-African</t>
  </si>
  <si>
    <t>https://www.kasada.com</t>
  </si>
  <si>
    <t>Find careers page; monitor LinkedIn</t>
  </si>
  <si>
    <t>Africa hospitality real estate PE platform; relevant but publish only investment/asset management roles.</t>
  </si>
  <si>
    <t>Strong fit</t>
  </si>
  <si>
    <t>Medium</t>
  </si>
  <si>
    <t>Official website identified; careers source to verify.</t>
  </si>
  <si>
    <t>Private Markets; Infrastructure; Impact; Alternative Investments</t>
  </si>
  <si>
    <t>Africa-focused / South Africa-led</t>
  </si>
  <si>
    <t>Map to official careers platform</t>
  </si>
  <si>
    <t>Large African private markets platform; strong source for infra/PE/impact investment roles.</t>
  </si>
  <si>
    <t>Official platform identified; careers often via Old Mutual group.</t>
  </si>
  <si>
    <t>Include - selective</t>
  </si>
  <si>
    <t>Asset Management / Investment Management</t>
  </si>
  <si>
    <t>Asset Management; Alternatives; Fixed Income; Listed Equities; Infrastructure</t>
  </si>
  <si>
    <t>South Africa; Kenya; Botswana; Namibia; pan-African</t>
  </si>
  <si>
    <t>Identify official careers route</t>
  </si>
  <si>
    <t>Relevant for investment-management jobs; publish selectively because many roles may be non-investment.</t>
  </si>
  <si>
    <t>Publish only CIB, investment banking, project finance, infrastructure finance, corporate finance, M&amp;A, asset management or investment roles. Exclude retail banking, audit, compliance-only and generic operations.</t>
  </si>
  <si>
    <t>Official website identified; careers route to verify.</t>
  </si>
  <si>
    <t>Investec</t>
  </si>
  <si>
    <t>Strategy / Consulting / Deals</t>
  </si>
  <si>
    <t>Investment Banking; Corporate Finance; Private Capital; Asset Management</t>
  </si>
  <si>
    <t>South Africa; UK; Mauritius; pan-African</t>
  </si>
  <si>
    <t>https://www.investec.com/en_za/welcome-to-investec/careers.html</t>
  </si>
  <si>
    <t>Check Africa/Mauritius/South Africa CIB and investment roles</t>
  </si>
  <si>
    <t>High-paying finance brand; include only investment banking, asset management, corporate finance and private capital roles.</t>
  </si>
  <si>
    <t>Selective fit</t>
  </si>
  <si>
    <t>Official careers route available.</t>
  </si>
  <si>
    <t>Absa Corporate and Investment Banking</t>
  </si>
  <si>
    <t>CIB; Investment Banking; Project Finance; Markets; Corporate Finance</t>
  </si>
  <si>
    <t>South Africa; Kenya; Ghana; Nigeria; Mauritius; pan-African</t>
  </si>
  <si>
    <t>https://cib.absa.africa</t>
  </si>
  <si>
    <t>Identify Absa careers page and Africa CIB filters</t>
  </si>
  <si>
    <t>High-paying CIB source; publish only investment banking/project finance/corporate finance roles.</t>
  </si>
  <si>
    <t>Official CIB website identified; careers route to verify.</t>
  </si>
  <si>
    <t>Nedbank Corporate and Investment Banking</t>
  </si>
  <si>
    <t>CIB; Investment Banking; Project Finance; Infrastructure Finance</t>
  </si>
  <si>
    <t>South Africa; rest of Africa</t>
  </si>
  <si>
    <t>https://cib.nedbank.co.za</t>
  </si>
  <si>
    <t>High-paying CIB source; publish selectively for investment/project finance roles.</t>
  </si>
  <si>
    <t>Lorax Capital Partners</t>
  </si>
  <si>
    <t>Private Equity; Egypt; Mid-market; Financial Services</t>
  </si>
  <si>
    <t>Egypt; MENA; North Africa</t>
  </si>
  <si>
    <t>https://loraxcapitalpartners.com</t>
  </si>
  <si>
    <t>High-quality Egypt/North Africa private equity source; relevant for investment roles.</t>
  </si>
  <si>
    <t>Ezdehar Management</t>
  </si>
  <si>
    <t>Private Equity; Egypt; Mid-market; Growth Capital</t>
  </si>
  <si>
    <t>https://ezdehar.com</t>
  </si>
  <si>
    <t>Egypt-focused PE manager; useful to strengthen North Africa coverage.</t>
  </si>
  <si>
    <t>Zebu Investment Partners</t>
  </si>
  <si>
    <t>Agribusiness; Food value chain; Private Equity; Impact</t>
  </si>
  <si>
    <t>South Africa; Ghana; Kenya; pan-African</t>
  </si>
  <si>
    <t>https://zebu.co.za</t>
  </si>
  <si>
    <t>Find careers page; monitor AVCA/LinkedIn</t>
  </si>
  <si>
    <t>Africa food/agri private equity manager; relevant for investment and portfolio roles.</t>
  </si>
  <si>
    <t>Official website identified.</t>
  </si>
  <si>
    <t>SilverStreet Capital</t>
  </si>
  <si>
    <t>Agriculture; Private Equity; Real Assets; Food security</t>
  </si>
  <si>
    <t>South Africa; Zambia; Tanzania; pan-African</t>
  </si>
  <si>
    <t>https://silverstreetcapital.com</t>
  </si>
  <si>
    <t>Africa agriculture investment manager; relevant but job volume may be low.</t>
  </si>
  <si>
    <t>Criterion Africa Partners</t>
  </si>
  <si>
    <t>Forestry; Natural Capital; Private Equity; Real Assets</t>
  </si>
  <si>
    <t>East Africa; Southern Africa; pan-African</t>
  </si>
  <si>
    <t>https://criterionafrica.com</t>
  </si>
  <si>
    <t>Specialist Africa real-assets/forestry investor; attractive but niche.</t>
  </si>
  <si>
    <t>Equator Capital Partners</t>
  </si>
  <si>
    <t>Financial Services; Private Equity; Emerging Markets</t>
  </si>
  <si>
    <t>Sub-Saharan Africa; global emerging markets</t>
  </si>
  <si>
    <t>https://equatorcap.com</t>
  </si>
  <si>
    <t>Financial services private equity investor; include for Africa-linked roles.</t>
  </si>
  <si>
    <t>Equator</t>
  </si>
  <si>
    <t>Climate Tech VC; Energy; Agriculture; Mobility; Africa</t>
  </si>
  <si>
    <t>https://www.equator.vc</t>
  </si>
  <si>
    <t>Monitor official site and LinkedIn</t>
  </si>
  <si>
    <t>Africa climate-tech VC; strong fit for investment roles.</t>
  </si>
  <si>
    <t>Publish investment team, portfolio support/value creation, venture capital, growth equity, platform strategy and investor relations roles only. Exclude startup operator roles unless corporate development/investment.</t>
  </si>
  <si>
    <t>Official website identified; source confirms climate tech focus.</t>
  </si>
  <si>
    <t>Knife Capital</t>
  </si>
  <si>
    <t>Venture Capital; Growth Equity; South Africa; B2B Tech</t>
  </si>
  <si>
    <t>https://www.knife.capital</t>
  </si>
  <si>
    <t>South Africa VC/growth investor; relevant for investment analyst/associate roles.</t>
  </si>
  <si>
    <t>HAVAÍC</t>
  </si>
  <si>
    <t>Venture Capital; African Tech; Investment Analyst; Growth Equity</t>
  </si>
  <si>
    <t>https://www.havaic.com</t>
  </si>
  <si>
    <t>Official website + job posts found</t>
  </si>
  <si>
    <t>Monitor HAVAÍC posts for analyst/associate roles</t>
  </si>
  <si>
    <t>African VC with visible investment job postings; strong target for junior investment talent.</t>
  </si>
  <si>
    <t>https://www.havaic.com/about</t>
  </si>
  <si>
    <t>Official site and official investment-role postings found.</t>
  </si>
  <si>
    <t>https://www.havaic.com/post/now-hiring-investment-analyst-1</t>
  </si>
  <si>
    <t>CRE Venture Capital</t>
  </si>
  <si>
    <t>Venture Capital; African Tech; Fintech; Growth</t>
  </si>
  <si>
    <t>Nigeria; South Africa; Kenya; pan-African</t>
  </si>
  <si>
    <t>https://www.cre.vc</t>
  </si>
  <si>
    <t>Africa-focused VC; relevant for investment and portfolio/platform roles.</t>
  </si>
  <si>
    <t>Catalyst Fund</t>
  </si>
  <si>
    <t>Climate Resilience; VC; Venture Builder; Africa</t>
  </si>
  <si>
    <t>Kenya; Nigeria; Senegal; pan-African</t>
  </si>
  <si>
    <t>https://www.thecatalystfund.com</t>
  </si>
  <si>
    <t>Monitor official careers/jobs and LinkedIn</t>
  </si>
  <si>
    <t>Climate resilience VC/venture builder; relevant for climate investment roles.</t>
  </si>
  <si>
    <t>Persistent</t>
  </si>
  <si>
    <t>Climate Venture Builder; Energy Access; Climate Finance</t>
  </si>
  <si>
    <t>Kenya; Nigeria; Ghana; pan-African</t>
  </si>
  <si>
    <t>https://www.persistent.energy</t>
  </si>
  <si>
    <t>https://www.persistent.energy/careers/</t>
  </si>
  <si>
    <t>Check careers monthly</t>
  </si>
  <si>
    <t>Africa climate venture builder; relevant for investment, venture building and portfolio roles.</t>
  </si>
  <si>
    <t>Official careers page found.</t>
  </si>
  <si>
    <t>Mirova / SunFunder</t>
  </si>
  <si>
    <t>Clean Energy Debt; Climate Finance; Solar; Emerging Markets</t>
  </si>
  <si>
    <t>https://www.mirova.com</t>
  </si>
  <si>
    <t>Track Mirova jobs for SunFunder/Gigaton strategy</t>
  </si>
  <si>
    <t>Relevant climate/debt investment platform; only publish Africa/emerging-market clean-energy finance roles.</t>
  </si>
  <si>
    <t>Official Mirova site identified; specific SunFunder strategy to verify on source pages.</t>
  </si>
  <si>
    <t>Globeleq</t>
  </si>
  <si>
    <t>Independent Power Producer; Project Finance; M&amp;A; Asset Management</t>
  </si>
  <si>
    <t>South Africa; Kenya; Côte d’Ivoire; Mozambique; Cameroon; pan-African</t>
  </si>
  <si>
    <t>https://globeleq.com</t>
  </si>
  <si>
    <t>https://globeleq.com/careers/</t>
  </si>
  <si>
    <t>Check official careers weekly</t>
  </si>
  <si>
    <t>Strong infra/platform employer; publish project finance, M&amp;A, corporate development and asset-management roles.</t>
  </si>
  <si>
    <t>Official careers page found; source confirms Africa power/project finance focus.</t>
  </si>
  <si>
    <t>InfraCredit</t>
  </si>
  <si>
    <t>Infrastructure Credit; Project Finance; Local Currency Guarantees</t>
  </si>
  <si>
    <t>https://infracredit.ng</t>
  </si>
  <si>
    <t>https://infracredit.ng/careers/</t>
  </si>
  <si>
    <t>Infrastructure credit guarantor; relevant for project finance, credit and portfolio roles.</t>
  </si>
  <si>
    <t>GuarantCo</t>
  </si>
  <si>
    <t>Infrastructure Credit; Guarantees; Local Capital Markets; PIDG</t>
  </si>
  <si>
    <t>Sub-Saharan Africa; emerging markets</t>
  </si>
  <si>
    <t>https://guarantco.com</t>
  </si>
  <si>
    <t>Track PIDG/GuarantCo opportunities</t>
  </si>
  <si>
    <t>Infrastructure credit platform; relevant for project finance/investment roles.</t>
  </si>
  <si>
    <t>Africa GreenCo</t>
  </si>
  <si>
    <t>Energy Trading; Renewable Energy; Project Finance; Climate Finance</t>
  </si>
  <si>
    <t>Zambia; South Africa; SAPP region</t>
  </si>
  <si>
    <t>https://africagreenco.com</t>
  </si>
  <si>
    <t>https://africagreenco.com/careers/</t>
  </si>
  <si>
    <t>Energy finance/platform role source; relevant for climate infrastructure and project finance.</t>
  </si>
  <si>
    <t>ARISE Integrated Industrial Platforms</t>
  </si>
  <si>
    <t>Industrial Infrastructure; Special Economic Zones; PPP; Project Finance</t>
  </si>
  <si>
    <t>Benin; Gabon; Togo; Côte d’Ivoire; Rwanda; Chad; DRC</t>
  </si>
  <si>
    <t>https://www.ariseiip.com</t>
  </si>
  <si>
    <t>https://www.ariseiip.com/careers/</t>
  </si>
  <si>
    <t>Check careers for finance/corp dev roles only</t>
  </si>
  <si>
    <t>Industrial infrastructure platform; include selectively for project finance/corporate development roles.</t>
  </si>
  <si>
    <t>U.S. International Development Finance Corporation (DFC)</t>
  </si>
  <si>
    <t>Development Finance; Investment Funds; Project Finance; Equity; Political Risk</t>
  </si>
  <si>
    <t>Africa + global emerging markets</t>
  </si>
  <si>
    <t>Sub-Saharan Africa; global developing markets</t>
  </si>
  <si>
    <t>https://www.dfc.gov</t>
  </si>
  <si>
    <t>https://www.dfc.gov/who-we-are/careers</t>
  </si>
  <si>
    <t>USAJobs / official</t>
  </si>
  <si>
    <t>Monitor finance/equity/investment management career path</t>
  </si>
  <si>
    <t>Top DFI source; publish finance, equity, investment funds and project finance roles.</t>
  </si>
  <si>
    <t>https://www.dfc.gov/who-we-are/careers/finance-equity-investment-management</t>
  </si>
  <si>
    <t>Publish investment, project finance, funds/equity, portfolio management, infrastructure, climate finance and strategy roles only. Exclude procurement, admin and pure grants/program roles.</t>
  </si>
  <si>
    <t>Official DFI careers and finance/equity investment career path found.</t>
  </si>
  <si>
    <t>FinDev Canada</t>
  </si>
  <si>
    <t>Development Finance; Investment; Blended Finance; Climate Finance</t>
  </si>
  <si>
    <t>Sub-Saharan Africa; Latin America; Indo-Pacific</t>
  </si>
  <si>
    <t>https://www.findevcanada.ca</t>
  </si>
  <si>
    <t>https://www.findevcanada.ca/en/careers</t>
  </si>
  <si>
    <t>Monitor careers monthly</t>
  </si>
  <si>
    <t>Strong DFI source; relevant for investment/blended finance roles.</t>
  </si>
  <si>
    <t>https://www.findevcanada.ca/en</t>
  </si>
  <si>
    <t>Official DFI page and careers page found.</t>
  </si>
  <si>
    <t>SIFEM</t>
  </si>
  <si>
    <t>Swiss DFI; Funds; Financial Institutions; Private Equity</t>
  </si>
  <si>
    <t>https://sifem.ch</t>
  </si>
  <si>
    <t>Find careers/portfolio manager route</t>
  </si>
  <si>
    <t>Swiss DFI; low job volume but perfect target quality when roles appear.</t>
  </si>
  <si>
    <t>COFIDES</t>
  </si>
  <si>
    <t>Spanish DFI; Private Sector Development; Project Finance</t>
  </si>
  <si>
    <t>North Africa; Sub-Saharan Africa; global emerging markets</t>
  </si>
  <si>
    <t>https://www.cofides.es</t>
  </si>
  <si>
    <t>Find careers page and English/Spanish requirements</t>
  </si>
  <si>
    <t>Spanish DFI; relevant for development finance roles with Africa exposure.</t>
  </si>
  <si>
    <t>West African Development Bank (BOAD)</t>
  </si>
  <si>
    <t>Regional DFI; Infrastructure Finance; Project Finance; Climate Finance</t>
  </si>
  <si>
    <t>UEMOA countries; West Africa</t>
  </si>
  <si>
    <t>https://www.boad.org</t>
  </si>
  <si>
    <t>https://www.boad.org/en/opportunities/</t>
  </si>
  <si>
    <t>Official opportunities page found</t>
  </si>
  <si>
    <t>Monitor official opportunities</t>
  </si>
  <si>
    <t>Regional DFI; highly relevant for French-speaking West Africa finance roles.</t>
  </si>
  <si>
    <t>Official opportunities page found.</t>
  </si>
  <si>
    <t>BADEA</t>
  </si>
  <si>
    <t>Development Finance; Africa; Infrastructure; Trade; Private Sector</t>
  </si>
  <si>
    <t>https://badea.org</t>
  </si>
  <si>
    <t>https://badea.org/jobs/</t>
  </si>
  <si>
    <t>Official jobs page found</t>
  </si>
  <si>
    <t>Monitor official jobs</t>
  </si>
  <si>
    <t>Africa-focused development bank; relevant for DFI/private sector finance roles.</t>
  </si>
  <si>
    <t>Official jobs page found.</t>
  </si>
  <si>
    <t>Islamic Corporation for the Development of the Private Sector (ICD)</t>
  </si>
  <si>
    <t>Private Sector Development; Islamic Finance; Investment; Financial Institutions</t>
  </si>
  <si>
    <t>Africa; Middle East; Asia</t>
  </si>
  <si>
    <t>https://icd-ps.org</t>
  </si>
  <si>
    <t>Find official careers/IsDB group vacancies</t>
  </si>
  <si>
    <t>Private-sector DFI within IsDB group; relevant for Africa-linked investment roles.</t>
  </si>
  <si>
    <t>Official website identified; careers likely via IsDB group.</t>
  </si>
  <si>
    <t>Fund for Export Development in Africa (FEDA)</t>
  </si>
  <si>
    <t>Direct Investment; Trade Finance; Industrialization; Afreximbank</t>
  </si>
  <si>
    <t>Pan-African; Africa trade corridors</t>
  </si>
  <si>
    <t>https://feda.africa</t>
  </si>
  <si>
    <t>Monitor FEDA/Afreximbank careers</t>
  </si>
  <si>
    <t>Afreximbank investment arm; strong fit for direct investment and strategic finance roles.</t>
  </si>
  <si>
    <t>Arise Investment</t>
  </si>
  <si>
    <t>Financial Services Investment; Banking; Insurance; Africa; DFI-backed</t>
  </si>
  <si>
    <t>East Africa; Southern Africa; West Africa</t>
  </si>
  <si>
    <t>https://ariseinvest.com</t>
  </si>
  <si>
    <t>https://ariseinvest.com/careers/</t>
  </si>
  <si>
    <t>Check official careers monthly</t>
  </si>
  <si>
    <t>DFI-backed investment company focused on African financial institutions; excellent fit.</t>
  </si>
  <si>
    <t>Impact Investing; Blended Finance; Venture/SME Finance; Emerging Markets</t>
  </si>
  <si>
    <t>Africa + emerging/frontier markets</t>
  </si>
  <si>
    <t>Africa; global emerging markets</t>
  </si>
  <si>
    <t>https://bamboocp.com</t>
  </si>
  <si>
    <t>Official website + job PDFs found</t>
  </si>
  <si>
    <t>Monitor website/job PDFs/LinkedIn</t>
  </si>
  <si>
    <t>Impact investing platform; relevant when roles are investment/blended finance, not programme admin.</t>
  </si>
  <si>
    <t>Official website and investment manager job posting found.</t>
  </si>
  <si>
    <t>Investisseurs &amp; Partenaires (I&amp;P)</t>
  </si>
  <si>
    <t>Impact Investing; SME Finance; Private Equity; Venture; Francophone Africa</t>
  </si>
  <si>
    <t>Senegal; Côte d’Ivoire; Cameroon; Burkina Faso; Madagascar; pan-African</t>
  </si>
  <si>
    <t>https://www.ietp.com</t>
  </si>
  <si>
    <t>https://www.ietp.com/en/content/join-us</t>
  </si>
  <si>
    <t>Monitor Join us / job posts</t>
  </si>
  <si>
    <t>High fit for Francophone Africa impact investment roles.</t>
  </si>
  <si>
    <t>https://www.ietp.com/en</t>
  </si>
  <si>
    <t>Official source and senior associate job post found.</t>
  </si>
  <si>
    <t>https://www.ietp.com/en/content/senior-associate-2025-10</t>
  </si>
  <si>
    <t>DOB Equity</t>
  </si>
  <si>
    <t>Impact Investing; East Africa; Growth Capital; Family-backed Fund</t>
  </si>
  <si>
    <t>Kenya; Tanzania; Uganda; Rwanda; East Africa</t>
  </si>
  <si>
    <t>https://dobequity.nl</t>
  </si>
  <si>
    <t>Find careers route; monitor LinkedIn</t>
  </si>
  <si>
    <t>East Africa impact investor; attractive but probably low job volume.</t>
  </si>
  <si>
    <t>BluePeak Private Capital</t>
  </si>
  <si>
    <t>Private Credit; Mezzanine; Impact; Africa</t>
  </si>
  <si>
    <t>North Africa; West Africa; East Africa; pan-African</t>
  </si>
  <si>
    <t>https://bluepeakpc.com</t>
  </si>
  <si>
    <t>Africa-focused private credit manager; strong fit for investment/portfolio roles.</t>
  </si>
  <si>
    <t>Lendable</t>
  </si>
  <si>
    <t>Private Credit; Fintech; Emerging Markets; Impact Investing</t>
  </si>
  <si>
    <t>https://www.lendable.io</t>
  </si>
  <si>
    <t>https://www.lendable.io/careers</t>
  </si>
  <si>
    <t>Check for investment/credit roles with Africa exposure</t>
  </si>
  <si>
    <t>Private credit/fintech investment platform; include only investment/credit roles.</t>
  </si>
  <si>
    <t>Official website and careers page identified.</t>
  </si>
  <si>
    <t>Chapel Hill Denham</t>
  </si>
  <si>
    <t>Investment Banking; Asset Management; Infrastructure; Nigeria</t>
  </si>
  <si>
    <t>https://www.chapelhilldenham.com</t>
  </si>
  <si>
    <t>https://www.chapelhilldenham.com/careers/</t>
  </si>
  <si>
    <t>Monitor careers for IB/asset management roles</t>
  </si>
  <si>
    <t>Strong local investment bank/asset manager; publish only premium finance roles.</t>
  </si>
  <si>
    <t>EFG Holding / EFG Hermes</t>
  </si>
  <si>
    <t>Investment Banking; Securities; Asset Management; MENA; Frontier Markets</t>
  </si>
  <si>
    <t>North Africa + Middle East</t>
  </si>
  <si>
    <t>Egypt; Kenya; Nigeria; MENA; frontier markets</t>
  </si>
  <si>
    <t>https://www.efghldg.com</t>
  </si>
  <si>
    <t>https://careers.efghldg.com</t>
  </si>
  <si>
    <t>Official careers portal found</t>
  </si>
  <si>
    <t>Filter for investment bank/frontier markets roles</t>
  </si>
  <si>
    <t>Leading regional investment bank; publish only investment banking/asset management/frontier roles.</t>
  </si>
  <si>
    <t>Official careers portal found.</t>
  </si>
  <si>
    <t>Citi</t>
  </si>
  <si>
    <t>Investment Banking; CIB; Markets; Project Finance; Africa Coverage</t>
  </si>
  <si>
    <t>South Africa; Nigeria; Kenya; Côte d’Ivoire; Morocco; Egypt; global hubs</t>
  </si>
  <si>
    <t>https://www.citigroup.com</t>
  </si>
  <si>
    <t>https://jobs.citi.com</t>
  </si>
  <si>
    <t>Workday / Citi jobs</t>
  </si>
  <si>
    <t>Use only Africa CIB/IB/project finance searches</t>
  </si>
  <si>
    <t>High-paying but broad; include only Africa-linked CIB/investment banking roles.</t>
  </si>
  <si>
    <t>Official jobs portal identified.</t>
  </si>
  <si>
    <t>Standard Chartered Corporate &amp; Investment Banking</t>
  </si>
  <si>
    <t>CIB; Project Finance; Sustainable Finance; Africa Coverage</t>
  </si>
  <si>
    <t>Kenya; Nigeria; Ghana; Côte d’Ivoire; South Africa; Egypt; global hubs</t>
  </si>
  <si>
    <t>https://www.sc.com/en/banking/corporate-investment/</t>
  </si>
  <si>
    <t>https://www.sc.com/en/global-careers/</t>
  </si>
  <si>
    <t>Workday / SC careers</t>
  </si>
  <si>
    <t>Use CIB/Africa search filters only</t>
  </si>
  <si>
    <t>High-paying CIB source; publish only Africa-linked CIB/project finance roles.</t>
  </si>
  <si>
    <t>Official CIB and careers pages identified.</t>
  </si>
  <si>
    <t>Société Générale CIB</t>
  </si>
  <si>
    <t>CIB; Structured Finance; Project Finance; Africa Coverage</t>
  </si>
  <si>
    <t>France; Morocco; Côte d’Ivoire; Cameroon; Senegal; Africa coverage hubs</t>
  </si>
  <si>
    <t>https://wholesale.banking.societegenerale.com</t>
  </si>
  <si>
    <t>https://careers.societegenerale.com</t>
  </si>
  <si>
    <t>Publish only Africa-linked CIB/structured finance roles</t>
  </si>
  <si>
    <t>High-paying but broad; include only finance roles with clear Africa/investment relevance.</t>
  </si>
  <si>
    <t>Official CIB/careers route identified.</t>
  </si>
  <si>
    <t>Ecobank Corporate &amp; Investment Banking</t>
  </si>
  <si>
    <t>CIB; Corporate Finance; Trade Finance; Pan-African Banking</t>
  </si>
  <si>
    <t>33+ African countries; Lomé; Lagos; Accra; Abidjan; Nairobi</t>
  </si>
  <si>
    <t>https://ecobank.com/group/corporate-investment-banking</t>
  </si>
  <si>
    <t>https://ecobank.com/group/careers</t>
  </si>
  <si>
    <t>Use CIB/corporate finance filters only</t>
  </si>
  <si>
    <t>Pan-African CIB platform; publish only premium CIB/investment roles.</t>
  </si>
  <si>
    <t>Coronation Merchant Bank</t>
  </si>
  <si>
    <t>Investment Banking; Merchant Banking; Asset Management; Nigeria</t>
  </si>
  <si>
    <t>https://www.coronationmb.com</t>
  </si>
  <si>
    <t>https://www.coronationmb.com/careers/</t>
  </si>
  <si>
    <t>Monitor careers for IB/strategy roles</t>
  </si>
  <si>
    <t>Local investment bank/merchant bank; publish only premium finance roles.</t>
  </si>
  <si>
    <t>Official careers page identified.</t>
  </si>
  <si>
    <t>BPE Partners / B Partners</t>
  </si>
  <si>
    <t>Private Equity; Egypt; Mid-market; North Africa</t>
  </si>
  <si>
    <t>https://bpepartners.com</t>
  </si>
  <si>
    <t>Verify current branding and careers route</t>
  </si>
  <si>
    <t>Egypt private equity manager; good North Africa source.</t>
  </si>
  <si>
    <t>Official website identified; current branding should be verified.</t>
  </si>
  <si>
    <t>Sanari Capital</t>
  </si>
  <si>
    <t>Private Equity; Growth Equity; South Africa; Mid-market</t>
  </si>
  <si>
    <t>South Africa; Southern Africa</t>
  </si>
  <si>
    <t>https://sanaricapital.com</t>
  </si>
  <si>
    <t>South Africa private equity investor; strong source for investment roles.</t>
  </si>
  <si>
    <t>Development Bank of Southern Africa (DBSA)</t>
  </si>
  <si>
    <t>Infrastructure Finance; Project Finance; Climate Finance; PPP</t>
  </si>
  <si>
    <t>Southern Africa + regional Africa</t>
  </si>
  <si>
    <t>South Africa; SADC; Africa regional projects</t>
  </si>
  <si>
    <t>https://www.dbsa.org</t>
  </si>
  <si>
    <t>https://www.dbsa.org/careers</t>
  </si>
  <si>
    <t>Monitor official careers for investment/project finance roles</t>
  </si>
  <si>
    <t>Core DFI/infrastructure employer; publish only finance/investment roles.</t>
  </si>
  <si>
    <t>Official careers page found; source confirms infrastructure finance mandate.</t>
  </si>
  <si>
    <t>Industrial Development Corporation of South Africa (IDC)</t>
  </si>
  <si>
    <t>Industrial Development Finance; Investment; Sector Finance</t>
  </si>
  <si>
    <t>https://www.idc.co.za</t>
  </si>
  <si>
    <t>https://www.idc.co.za/careers/</t>
  </si>
  <si>
    <t>Monitor careers for investment/deal roles</t>
  </si>
  <si>
    <t>Large DFI; high relevance for investment/development finance jobs.</t>
  </si>
  <si>
    <t>Official careers page found and DFI mandate confirmed.</t>
  </si>
  <si>
    <t>Public Investment Corporation (PIC)</t>
  </si>
  <si>
    <t>Asset Management; Alternatives; Private Markets; Infrastructure</t>
  </si>
  <si>
    <t>South Africa + Africa exposure</t>
  </si>
  <si>
    <t>South Africa; pan-African investments</t>
  </si>
  <si>
    <t>https://www.pic.gov.za</t>
  </si>
  <si>
    <t>Find official vacancies route; publish investment roles only</t>
  </si>
  <si>
    <t>Large African investment manager; include only investment/asset management/private markets roles.</t>
  </si>
  <si>
    <t>Nigeria Sovereign Investment Authority (NSIA)</t>
  </si>
  <si>
    <t>Sovereign Wealth Fund; Infrastructure; Asset Management; Direct Investment</t>
  </si>
  <si>
    <t>Nigeria; Africa-linked investments</t>
  </si>
  <si>
    <t>https://nsia.com.ng</t>
  </si>
  <si>
    <t>https://nsia.com.ng/careers/</t>
  </si>
  <si>
    <t>Monitor official careers and Young Leaders Programme</t>
  </si>
  <si>
    <t>Core sovereign investment/infrastructure source; publish investment, portfolio and infra roles.</t>
  </si>
  <si>
    <t>Official careers page found; investment mandate confirmed.</t>
  </si>
  <si>
    <t>Ghana Infrastructure Investment Fund (GIIF)</t>
  </si>
  <si>
    <t>Infrastructure Investment; Project Finance; PPP; Ghana</t>
  </si>
  <si>
    <t>Ghana; West Africa</t>
  </si>
  <si>
    <t>https://giif.gov.gh</t>
  </si>
  <si>
    <t>Find careers/procurement distinction; monitor official site</t>
  </si>
  <si>
    <t>Government-backed infrastructure investment fund; relevant for project finance and investment roles.</t>
  </si>
  <si>
    <t>Official website confirms infrastructure investment fund; career source to verify.</t>
  </si>
  <si>
    <t>Research Summary — Source List Complement</t>
  </si>
  <si>
    <t>Purpose</t>
  </si>
  <si>
    <t>Keep the source universe strict: only firms likely to produce premium Africa-focused finance, DFI, private capital, infrastructure or investment jobs.</t>
  </si>
  <si>
    <t>Research date</t>
  </si>
  <si>
    <t>Additions appended</t>
  </si>
  <si>
    <t>Strict inclusion gate</t>
  </si>
  <si>
    <t>Meaning for this platform</t>
  </si>
  <si>
    <t>Rule</t>
  </si>
  <si>
    <t>1. Real investment platform</t>
  </si>
  <si>
    <t>Must deploy or advise capital, finance infrastructure, manage assets, invest privately, or originate CIB/project-finance deals.</t>
  </si>
  <si>
    <t>Do not add normal audit, admin, accounting, procurement, generic NGO/programme jobs.</t>
  </si>
  <si>
    <t>2. Africa relevance</t>
  </si>
  <si>
    <t>Must be Africa-focused or have a credible Africa investment/careers footprint.</t>
  </si>
  <si>
    <t>If global/broad, publish only Africa-linked roles.</t>
  </si>
  <si>
    <t>3. Career quality</t>
  </si>
  <si>
    <t>Employer should plausibly offer premium analyst/associate/manager roles for HSG/LSE/Warwick/Big 4 Deals/IB/PE profiles.</t>
  </si>
  <si>
    <t>If low-paid/local-only or unclear, keep out.</t>
  </si>
  <si>
    <t>4. Source verifiability</t>
  </si>
  <si>
    <t>Official website/careers page or credible sector source must exist.</t>
  </si>
  <si>
    <t>Use LinkedIn/third parties for discovery only, then verify official source.</t>
  </si>
  <si>
    <t>Formula / Value</t>
  </si>
  <si>
    <t>Interpretation</t>
  </si>
  <si>
    <t>Total source universe</t>
  </si>
  <si>
    <t>Original list + researched additions.</t>
  </si>
  <si>
    <t>New additions</t>
  </si>
  <si>
    <t>Rows 105 to 159</t>
  </si>
  <si>
    <t>Core fit additions</t>
  </si>
  <si>
    <t>Highest confidence sources.</t>
  </si>
  <si>
    <t>Strong fit additions</t>
  </si>
  <si>
    <t>Very relevant but lower job volume or more niche.</t>
  </si>
  <si>
    <t>Selective fit additions</t>
  </si>
  <si>
    <t>Only include specific premium finance roles.</t>
  </si>
  <si>
    <t>High confidence additions</t>
  </si>
  <si>
    <t>Official source/careers clarity is strong.</t>
  </si>
  <si>
    <t>Recommended immediate use</t>
  </si>
  <si>
    <t>Prioritize P1 + Core fit sources for the first manual job-collection round.</t>
  </si>
  <si>
    <t>For Selective fit banks, search only CIB / investment banking / project finance / infrastructure finance roles.</t>
  </si>
  <si>
    <t>Do not publish roles without official source/apply links, even if they appear on third-party sites.</t>
  </si>
  <si>
    <t>Keep questionable logo-map firms in triage until official status and fit are verified.</t>
  </si>
  <si>
    <t>TLG Capital</t>
  </si>
  <si>
    <t xml:space="preserve">
Phatisa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</si>
</sst>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5"/>
      <color rgb="FFFFFFFF"/>
      <name val="Carlito"/>
    </font>
    <font>
      <sz val="11"/>
      <color rgb="FF172554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563C1"/>
      <name val="Carlito"/>
    </font>
    <font>
      <b/>
      <sz val="14"/>
      <color rgb="FFFFFFFF"/>
      <name val="Carlito"/>
    </font>
    <font>
      <b/>
      <sz val="16"/>
      <color rgb="FF0B1F33"/>
      <name val="Carlito"/>
    </font>
    <font>
      <i/>
      <sz val="11"/>
      <color rgb="FF37415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3F4F6"/>
      </patternFill>
    </fill>
    <fill>
      <patternFill patternType="solid">
        <fgColor rgb="FF0B1F3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  <xf numFmtId="0" fontId="3" fillId="6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1" fillId="6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1" fontId="0" fillId="7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164" fontId="0" fillId="7" borderId="0" xfId="0" applyNumberFormat="1" applyFont="1" applyFill="1" applyBorder="1" applyAlignment="1">
      <alignment vertical="top" wrapText="1"/>
    </xf>
    <xf numFmtId="0" fontId="0" fillId="7" borderId="0" xfId="0" applyFill="1"/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left"/>
    </xf>
    <xf numFmtId="0" fontId="3" fillId="2" borderId="0" xfId="0" applyNumberFormat="1" applyFont="1" applyFill="1" applyBorder="1"/>
    <xf numFmtId="0" fontId="7" fillId="2" borderId="0" xfId="0" applyNumberFormat="1" applyFont="1" applyFill="1" applyBorder="1"/>
    <xf numFmtId="0" fontId="7" fillId="0" borderId="0" xfId="0" applyNumberFormat="1" applyFont="1" applyFill="1" applyBorder="1"/>
    <xf numFmtId="0" fontId="8" fillId="3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6" fillId="2" borderId="0" xfId="0" applyNumberFormat="1" applyFont="1" applyFill="1" applyBorder="1"/>
  </cellXfs>
  <cellStyles count="1">
    <cellStyle name="Normal" xfId="0" builtinId="0"/>
  </cellStyles>
  <dxfs count="13">
    <dxf>
      <font>
        <b/>
        <color rgb="FF854D0E"/>
      </font>
      <fill>
        <patternFill>
          <bgColor rgb="FFFFF4CE"/>
        </patternFill>
      </fill>
    </dxf>
    <dxf>
      <font>
        <b/>
        <color rgb="FF991B1B"/>
      </font>
      <fill>
        <patternFill>
          <bgColor rgb="FFFCE4D6"/>
        </patternFill>
      </fill>
    </dxf>
    <dxf>
      <font>
        <b/>
        <color rgb="FF1E3A8A"/>
      </font>
      <fill>
        <patternFill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fgColor indexed="64"/>
          <bgColor rgb="FFFFF4C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374151"/>
      </font>
      <fill>
        <patternFill patternType="solid">
          <fgColor indexed="64"/>
          <bgColor rgb="FFF3F4F6"/>
        </patternFill>
      </fill>
    </dxf>
    <dxf>
      <font>
        <color rgb="FF166534"/>
      </font>
      <fill>
        <patternFill patternType="solid">
          <fgColor indexed="64"/>
          <bgColor rgb="FFE6F4EA"/>
        </patternFill>
      </fill>
    </dxf>
    <dxf>
      <font>
        <b/>
        <i val="0"/>
        <color rgb="FF1E3A8A"/>
      </font>
      <fill>
        <patternFill patternType="solid">
          <fgColor indexed="64"/>
          <bgColor rgb="FFDBEAFE"/>
        </patternFill>
      </fill>
    </dxf>
    <dxf>
      <font>
        <color rgb="FF991B1B"/>
      </font>
      <fill>
        <patternFill patternType="solid">
          <fgColor indexed="64"/>
          <bgColor rgb="FFFCE4D6"/>
        </patternFill>
      </fill>
    </dxf>
    <dxf>
      <font>
        <color rgb="FF854D0E"/>
      </font>
      <fill>
        <patternFill patternType="solid">
          <fgColor indexed="64"/>
          <bgColor rgb="FFFFF4CE"/>
        </patternFill>
      </fill>
    </dxf>
    <dxf>
      <font>
        <color rgb="FF166534"/>
      </font>
      <fill>
        <patternFill patternType="solid">
          <fgColor indexed="64"/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Candidate Organizations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Dashboard!$D$8:$D$15</c:f>
              <c:strCache>
                <c:ptCount val="8"/>
                <c:pt idx="0">
                  <c:v>PE / Private Capital</c:v>
                </c:pt>
                <c:pt idx="1">
                  <c:v>Infrastructure / Project Finance</c:v>
                </c:pt>
                <c:pt idx="2">
                  <c:v>DFI / MDB</c:v>
                </c:pt>
                <c:pt idx="3">
                  <c:v>VC / Growth Equity</c:v>
                </c:pt>
                <c:pt idx="4">
                  <c:v>Climate Finance / Impact Investing</c:v>
                </c:pt>
                <c:pt idx="5">
                  <c:v>Private Credit / Mezzanine</c:v>
                </c:pt>
                <c:pt idx="6">
                  <c:v>Strategy / Deals Advisory</c:v>
                </c:pt>
                <c:pt idx="7">
                  <c:v>Corporate Development / Strategic Finance</c:v>
                </c:pt>
              </c:strCache>
            </c:strRef>
          </c:cat>
          <c:val>
            <c:numRef>
              <c:f>Dashboard!$E$8:$E$15</c:f>
              <c:numCache>
                <c:formatCode>General</c:formatCode>
                <c:ptCount val="8"/>
                <c:pt idx="0">
                  <c:v>43</c:v>
                </c:pt>
                <c:pt idx="1">
                  <c:v>18</c:v>
                </c:pt>
                <c:pt idx="2">
                  <c:v>28</c:v>
                </c:pt>
                <c:pt idx="3">
                  <c:v>21</c:v>
                </c:pt>
                <c:pt idx="4">
                  <c:v>15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4-492E-A553-D4F563B9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ySourceTable" displayName="CompanySourceTable" ref="A4:S161">
  <autoFilter ref="A4:S161" xr:uid="{00000000-000C-0000-FFFF-FFFF00000000}">
    <filterColumn colId="1">
      <filters>
        <filter val="Include"/>
        <filter val="Monitor"/>
      </filters>
    </filterColumn>
  </autoFilter>
  <tableColumns count="19">
    <tableColumn id="1" xr3:uid="{00000000-0010-0000-0000-000001000000}" name="ID"/>
    <tableColumn id="2" xr3:uid="{00000000-0010-0000-0000-000002000000}" name="V1 Decision"/>
    <tableColumn id="3" xr3:uid="{00000000-0010-0000-0000-000003000000}" name="Priority"/>
    <tableColumn id="4" xr3:uid="{00000000-0010-0000-0000-000004000000}" name="Company Name"/>
    <tableColumn id="5" xr3:uid="{00000000-0010-0000-0000-000005000000}" name="Source Category"/>
    <tableColumn id="6" xr3:uid="{00000000-0010-0000-0000-000006000000}" name="Role Type Tags"/>
    <tableColumn id="7" xr3:uid="{00000000-0010-0000-0000-000007000000}" name="Primary Geography"/>
    <tableColumn id="8" xr3:uid="{00000000-0010-0000-0000-000008000000}" name="Key Countries / Offices"/>
    <tableColumn id="9" xr3:uid="{00000000-0010-0000-0000-000009000000}" name="Website"/>
    <tableColumn id="10" xr3:uid="{00000000-0010-0000-0000-00000A000000}" name="Career Page URL"/>
    <tableColumn id="11" xr3:uid="{00000000-0010-0000-0000-00000B000000}" name="ATS Provider"/>
    <tableColumn id="12" xr3:uid="{00000000-0010-0000-0000-00000C000000}" name="Career Source Quality"/>
    <tableColumn id="13" xr3:uid="{00000000-0010-0000-0000-00000D000000}" name="Official Source Status"/>
    <tableColumn id="14" xr3:uid="{00000000-0010-0000-0000-00000E000000}" name="Logo Map?"/>
    <tableColumn id="15" xr3:uid="{00000000-0010-0000-0000-00000F000000}" name="Manual Verification Status"/>
    <tableColumn id="16" xr3:uid="{00000000-0010-0000-0000-000010000000}" name="Last Checked"/>
    <tableColumn id="17" xr3:uid="{00000000-0010-0000-0000-000011000000}" name="Next Action"/>
    <tableColumn id="18" xr3:uid="{00000000-0010-0000-0000-000012000000}" name="Notes"/>
    <tableColumn id="19" xr3:uid="{00000000-0010-0000-0000-000013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goMapTriageTable" displayName="LogoMapTriageTable" ref="A3:E23">
  <tableColumns count="5">
    <tableColumn id="1" xr3:uid="{00000000-0010-0000-0100-000001000000}" name="Company / Logo Map Name"/>
    <tableColumn id="2" xr3:uid="{00000000-0010-0000-0100-000002000000}" name="Decision"/>
    <tableColumn id="3" xr3:uid="{00000000-0010-0000-0100-000003000000}" name="Reason"/>
    <tableColumn id="4" xr3:uid="{00000000-0010-0000-0100-000004000000}" name="Replacement / Better Source"/>
    <tableColumn id="5" xr3:uid="{00000000-0010-0000-0100-000005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ghConvictionAddsTable" displayName="HighConvictionAddsTable" ref="A1:Z56">
  <tableColumns count="26">
    <tableColumn id="1" xr3:uid="{00000000-0010-0000-0200-000001000000}" name="ID"/>
    <tableColumn id="2" xr3:uid="{00000000-0010-0000-0200-000002000000}" name="V1 Decision"/>
    <tableColumn id="3" xr3:uid="{00000000-0010-0000-0200-000003000000}" name="Priority"/>
    <tableColumn id="4" xr3:uid="{00000000-0010-0000-0200-000004000000}" name="Company Name"/>
    <tableColumn id="5" xr3:uid="{00000000-0010-0000-0200-000005000000}" name="Source Category"/>
    <tableColumn id="6" xr3:uid="{00000000-0010-0000-0200-000006000000}" name="Role Type Tags"/>
    <tableColumn id="7" xr3:uid="{00000000-0010-0000-0200-000007000000}" name="Primary Geography"/>
    <tableColumn id="8" xr3:uid="{00000000-0010-0000-0200-000008000000}" name="Key Countries / Offices"/>
    <tableColumn id="9" xr3:uid="{00000000-0010-0000-0200-000009000000}" name="Website"/>
    <tableColumn id="10" xr3:uid="{00000000-0010-0000-0200-00000A000000}" name="Career Page URL"/>
    <tableColumn id="11" xr3:uid="{00000000-0010-0000-0200-00000B000000}" name="ATS Provider"/>
    <tableColumn id="12" xr3:uid="{00000000-0010-0000-0200-00000C000000}" name="Career Source Quality"/>
    <tableColumn id="13" xr3:uid="{00000000-0010-0000-0200-00000D000000}" name="Official Source Status"/>
    <tableColumn id="14" xr3:uid="{00000000-0010-0000-0200-00000E000000}" name="Logo Map?"/>
    <tableColumn id="15" xr3:uid="{00000000-0010-0000-0200-00000F000000}" name="Manual Verification Status"/>
    <tableColumn id="16" xr3:uid="{00000000-0010-0000-0200-000010000000}" name="Last Checked"/>
    <tableColumn id="17" xr3:uid="{00000000-0010-0000-0200-000011000000}" name="Next Action"/>
    <tableColumn id="18" xr3:uid="{00000000-0010-0000-0200-000012000000}" name="Notes"/>
    <tableColumn id="19" xr3:uid="{00000000-0010-0000-0200-000013000000}" name="Source URL"/>
    <tableColumn id="20" xr3:uid="{00000000-0010-0000-0200-000014000000}" name="Fit Score (1-5)"/>
    <tableColumn id="21" xr3:uid="{00000000-0010-0000-0200-000015000000}" name="Fit Tier"/>
    <tableColumn id="22" xr3:uid="{00000000-0010-0000-0200-000016000000}" name="Publish Rule"/>
    <tableColumn id="23" xr3:uid="{00000000-0010-0000-0200-000017000000}" name="Research Confidence"/>
    <tableColumn id="24" xr3:uid="{00000000-0010-0000-0200-000018000000}" name="Added in Research Round?"/>
    <tableColumn id="25" xr3:uid="{00000000-0010-0000-0200-000019000000}" name="Verification Notes"/>
    <tableColumn id="26" xr3:uid="{00000000-0010-0000-0200-00001A000000}" name="Source 2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  <wetp:taskpane dockstate="right" visibility="0" width="70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FEC8673-081A-4506-B216-D24057CC8BEF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6B7861A-895C-4BF1-AF5B-54EB669E1968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2180998-a509-4880-8c28-84fd5ce558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3.5"/>
  <cols>
    <col min="1" max="1" width="26" customWidth="1"/>
    <col min="2" max="2" width="58" customWidth="1"/>
    <col min="4" max="4" width="34" customWidth="1"/>
    <col min="5" max="5" width="12" customWidth="1"/>
    <col min="6" max="8" width="18" customWidth="1"/>
  </cols>
  <sheetData>
    <row r="1" spans="1:8" ht="7.05" customHeight="1">
      <c r="A1" s="22" t="s">
        <v>0</v>
      </c>
      <c r="B1" s="23"/>
      <c r="C1" s="23"/>
      <c r="D1" s="23"/>
      <c r="E1" s="23"/>
      <c r="F1" s="23"/>
      <c r="G1" s="23"/>
      <c r="H1" s="23"/>
    </row>
    <row r="3" spans="1:8" ht="12" customHeight="1">
      <c r="A3" s="24" t="s">
        <v>1</v>
      </c>
      <c r="B3" s="23"/>
      <c r="C3" s="23"/>
      <c r="D3" s="23"/>
      <c r="E3" s="23"/>
      <c r="F3" s="23"/>
      <c r="G3" s="23"/>
      <c r="H3" s="23"/>
    </row>
    <row r="4" spans="1:8">
      <c r="A4" s="23"/>
      <c r="B4" s="23"/>
      <c r="C4" s="23"/>
      <c r="D4" s="23"/>
      <c r="E4" s="23"/>
      <c r="F4" s="23"/>
      <c r="G4" s="23"/>
      <c r="H4" s="23"/>
    </row>
    <row r="5" spans="1:8">
      <c r="A5" s="23"/>
      <c r="B5" s="23"/>
      <c r="C5" s="23"/>
      <c r="D5" s="23"/>
      <c r="E5" s="23"/>
      <c r="F5" s="23"/>
      <c r="G5" s="23"/>
      <c r="H5" s="23"/>
    </row>
    <row r="7" spans="1:8" ht="13.9">
      <c r="A7" s="1" t="s">
        <v>2</v>
      </c>
      <c r="B7" s="1" t="s">
        <v>3</v>
      </c>
      <c r="D7" s="1" t="s">
        <v>4</v>
      </c>
      <c r="E7" s="1" t="s">
        <v>5</v>
      </c>
    </row>
    <row r="8" spans="1:8" ht="13.9">
      <c r="A8" s="3" t="s">
        <v>6</v>
      </c>
      <c r="B8" s="4">
        <f>COUNTA('100 Company Source List'!D5:D161)</f>
        <v>157</v>
      </c>
      <c r="D8" s="2" t="s">
        <v>7</v>
      </c>
      <c r="E8" s="4">
        <f>COUNTIF('100 Company Source List'!E5:E161,D8)</f>
        <v>43</v>
      </c>
    </row>
    <row r="9" spans="1:8" ht="13.9">
      <c r="A9" s="3" t="s">
        <v>8</v>
      </c>
      <c r="B9" s="4">
        <f>COUNTIF('100 Company Source List'!B5:B161,"Include")</f>
        <v>142</v>
      </c>
      <c r="D9" s="2" t="s">
        <v>9</v>
      </c>
      <c r="E9" s="4">
        <f>COUNTIF('100 Company Source List'!E5:E161,D9)</f>
        <v>18</v>
      </c>
    </row>
    <row r="10" spans="1:8" ht="13.9">
      <c r="A10" s="3" t="s">
        <v>10</v>
      </c>
      <c r="B10" s="4">
        <f>COUNTIF('100 Company Source List'!B5:B161,"Monitor")</f>
        <v>1</v>
      </c>
      <c r="D10" s="2" t="s">
        <v>11</v>
      </c>
      <c r="E10" s="4">
        <f>COUNTIF('100 Company Source List'!E5:E161,D10)</f>
        <v>28</v>
      </c>
    </row>
    <row r="11" spans="1:8" ht="13.9">
      <c r="A11" s="3" t="s">
        <v>12</v>
      </c>
      <c r="B11" s="4">
        <f>COUNTIF('100 Company Source List'!C5:C161,"P1")</f>
        <v>60</v>
      </c>
      <c r="D11" s="2" t="s">
        <v>13</v>
      </c>
      <c r="E11" s="4">
        <f>COUNTIF('100 Company Source List'!E5:E161,D11)</f>
        <v>21</v>
      </c>
    </row>
    <row r="12" spans="1:8" ht="13.9">
      <c r="A12" s="3" t="s">
        <v>14</v>
      </c>
      <c r="B12" s="4">
        <f>COUNTIF('100 Company Source List'!O5:O161,"To verify")</f>
        <v>100</v>
      </c>
      <c r="D12" s="2" t="s">
        <v>15</v>
      </c>
      <c r="E12" s="4">
        <f>COUNTIF('100 Company Source List'!E5:E161,D12)</f>
        <v>15</v>
      </c>
    </row>
    <row r="13" spans="1:8" ht="13.9">
      <c r="A13" s="3" t="s">
        <v>16</v>
      </c>
      <c r="B13" s="4">
        <f>COUNTIF('100 Company Source List'!L5:L161,"Official careers page found")</f>
        <v>33</v>
      </c>
      <c r="D13" s="2" t="s">
        <v>17</v>
      </c>
      <c r="E13" s="4">
        <f>COUNTIF('100 Company Source List'!E5:E161,D13)</f>
        <v>5</v>
      </c>
    </row>
    <row r="14" spans="1:8">
      <c r="D14" s="2" t="s">
        <v>18</v>
      </c>
      <c r="E14" s="4">
        <f>COUNTIF('100 Company Source List'!E5:E161,D14)</f>
        <v>8</v>
      </c>
    </row>
    <row r="15" spans="1:8">
      <c r="D15" s="2" t="s">
        <v>19</v>
      </c>
      <c r="E15" s="4">
        <f>COUNTIF('100 Company Source List'!E5:E161,D15)</f>
        <v>4</v>
      </c>
    </row>
    <row r="16" spans="1:8">
      <c r="D16" s="2" t="s">
        <v>20</v>
      </c>
      <c r="E16" s="4">
        <f>COUNTIF('100 Company Source List'!E5:E161,D16)</f>
        <v>1</v>
      </c>
    </row>
    <row r="17" spans="1:8" ht="13.9">
      <c r="A17" s="25" t="s">
        <v>21</v>
      </c>
      <c r="B17" s="23"/>
      <c r="C17" s="23"/>
      <c r="D17" s="23"/>
      <c r="E17" s="23"/>
      <c r="F17" s="23"/>
      <c r="G17" s="23"/>
      <c r="H17" s="23"/>
    </row>
    <row r="18" spans="1:8" ht="13.9">
      <c r="A18" s="1" t="s">
        <v>22</v>
      </c>
      <c r="B18" s="5" t="s">
        <v>23</v>
      </c>
    </row>
    <row r="19" spans="1:8" ht="13.9">
      <c r="A19" s="1" t="s">
        <v>24</v>
      </c>
      <c r="B19" s="5" t="s">
        <v>25</v>
      </c>
    </row>
    <row r="20" spans="1:8" ht="13.9">
      <c r="A20" s="1" t="s">
        <v>26</v>
      </c>
      <c r="B20" s="5" t="s">
        <v>27</v>
      </c>
    </row>
    <row r="21" spans="1:8" ht="27.4">
      <c r="A21" s="1" t="s">
        <v>28</v>
      </c>
      <c r="B21" s="5" t="s">
        <v>29</v>
      </c>
    </row>
    <row r="22" spans="1:8" ht="27.4">
      <c r="A22" s="1" t="s">
        <v>30</v>
      </c>
      <c r="B22" s="5" t="s">
        <v>31</v>
      </c>
    </row>
    <row r="24" spans="1:8" ht="13.9">
      <c r="A24" s="26" t="s">
        <v>32</v>
      </c>
      <c r="B24" s="23"/>
      <c r="C24" s="23"/>
      <c r="D24" s="23"/>
      <c r="E24" s="23"/>
      <c r="F24" s="23"/>
      <c r="G24" s="23"/>
      <c r="H24" s="23"/>
    </row>
    <row r="25" spans="1:8" ht="13.9">
      <c r="A25" s="3" t="s">
        <v>33</v>
      </c>
      <c r="B25" s="6" t="s">
        <v>34</v>
      </c>
    </row>
    <row r="26" spans="1:8" ht="13.9">
      <c r="A26" s="3" t="s">
        <v>35</v>
      </c>
      <c r="B26" s="6" t="s">
        <v>36</v>
      </c>
    </row>
    <row r="27" spans="1:8" ht="27.4">
      <c r="A27" s="3" t="s">
        <v>37</v>
      </c>
      <c r="B27" s="6" t="s">
        <v>38</v>
      </c>
    </row>
    <row r="28" spans="1:8" ht="13.9">
      <c r="A28" s="3" t="s">
        <v>39</v>
      </c>
      <c r="B28" s="6" t="s">
        <v>40</v>
      </c>
    </row>
    <row r="29" spans="1:8" ht="13.9">
      <c r="A29" s="3" t="s">
        <v>41</v>
      </c>
      <c r="B29" s="6" t="s">
        <v>42</v>
      </c>
    </row>
    <row r="30" spans="1:8" ht="40.9">
      <c r="A30" s="3" t="s">
        <v>43</v>
      </c>
      <c r="B30" s="6" t="s">
        <v>44</v>
      </c>
    </row>
  </sheetData>
  <mergeCells count="4">
    <mergeCell ref="A1:H1"/>
    <mergeCell ref="A3:H5"/>
    <mergeCell ref="A17:H17"/>
    <mergeCell ref="A24:H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1"/>
  <sheetViews>
    <sheetView tabSelected="1" topLeftCell="A158" workbookViewId="0">
      <selection activeCell="A162" sqref="A162"/>
    </sheetView>
  </sheetViews>
  <sheetFormatPr defaultRowHeight="13.5"/>
  <cols>
    <col min="1" max="1" width="8" customWidth="1"/>
    <col min="2" max="2" width="16" customWidth="1"/>
    <col min="3" max="3" width="10" customWidth="1"/>
    <col min="4" max="4" width="28" customWidth="1"/>
    <col min="5" max="5" width="24" customWidth="1"/>
    <col min="6" max="6" width="34" customWidth="1"/>
    <col min="7" max="7" width="24" customWidth="1"/>
    <col min="8" max="8" width="34" customWidth="1"/>
    <col min="9" max="9" width="28" customWidth="1"/>
    <col min="10" max="10" width="34" customWidth="1"/>
    <col min="11" max="11" width="16" customWidth="1"/>
    <col min="12" max="12" width="22" customWidth="1"/>
    <col min="13" max="13" width="14" customWidth="1"/>
    <col min="14" max="14" width="12" customWidth="1"/>
    <col min="15" max="15" width="18" customWidth="1"/>
    <col min="16" max="16" width="14" customWidth="1"/>
    <col min="17" max="17" width="22" customWidth="1"/>
    <col min="18" max="18" width="44" customWidth="1"/>
    <col min="19" max="19" width="34" customWidth="1"/>
    <col min="20" max="20" width="14" customWidth="1"/>
    <col min="21" max="21" width="16" customWidth="1"/>
    <col min="22" max="22" width="46" customWidth="1"/>
    <col min="23" max="23" width="18" customWidth="1"/>
    <col min="24" max="24" width="22" customWidth="1"/>
    <col min="25" max="25" width="38" customWidth="1"/>
    <col min="26" max="26" width="34" customWidth="1"/>
  </cols>
  <sheetData>
    <row r="1" spans="1:26" ht="12" customHeight="1">
      <c r="A1" s="27" t="s">
        <v>681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9"/>
      <c r="U1" s="9"/>
      <c r="V1" s="9"/>
      <c r="W1" s="9"/>
      <c r="X1" s="9"/>
      <c r="Y1" s="9"/>
      <c r="Z1" s="9"/>
    </row>
    <row r="2" spans="1:26" ht="8" customHeight="1">
      <c r="A2" s="29" t="s">
        <v>682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10"/>
      <c r="U2" s="10"/>
      <c r="V2" s="10"/>
      <c r="W2" s="10"/>
      <c r="X2" s="10"/>
      <c r="Y2" s="10"/>
      <c r="Z2" s="10"/>
    </row>
    <row r="4" spans="1:26" ht="15" customHeight="1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50</v>
      </c>
      <c r="G4" s="11" t="s">
        <v>51</v>
      </c>
      <c r="H4" s="11" t="s">
        <v>52</v>
      </c>
      <c r="I4" s="11" t="s">
        <v>53</v>
      </c>
      <c r="J4" s="11" t="s">
        <v>54</v>
      </c>
      <c r="K4" s="11" t="s">
        <v>55</v>
      </c>
      <c r="L4" s="11" t="s">
        <v>56</v>
      </c>
      <c r="M4" s="11" t="s">
        <v>57</v>
      </c>
      <c r="N4" s="11" t="s">
        <v>58</v>
      </c>
      <c r="O4" s="11" t="s">
        <v>59</v>
      </c>
      <c r="P4" s="11" t="s">
        <v>60</v>
      </c>
      <c r="Q4" s="11" t="s">
        <v>61</v>
      </c>
      <c r="R4" s="11" t="s">
        <v>62</v>
      </c>
      <c r="S4" s="11" t="s">
        <v>63</v>
      </c>
      <c r="T4" s="12" t="s">
        <v>683</v>
      </c>
      <c r="U4" s="12" t="s">
        <v>684</v>
      </c>
      <c r="V4" s="12" t="s">
        <v>685</v>
      </c>
      <c r="W4" s="12" t="s">
        <v>686</v>
      </c>
      <c r="X4" s="12" t="s">
        <v>687</v>
      </c>
      <c r="Y4" s="12" t="s">
        <v>688</v>
      </c>
      <c r="Z4" s="12" t="s">
        <v>689</v>
      </c>
    </row>
    <row r="5" spans="1:26" ht="31.25" customHeight="1">
      <c r="A5" s="13">
        <v>1</v>
      </c>
      <c r="B5" s="8" t="s">
        <v>64</v>
      </c>
      <c r="C5" s="8" t="s">
        <v>65</v>
      </c>
      <c r="D5" s="8" t="s">
        <v>66</v>
      </c>
      <c r="E5" s="8" t="s">
        <v>7</v>
      </c>
      <c r="F5" s="8" t="s">
        <v>67</v>
      </c>
      <c r="G5" s="8" t="s">
        <v>68</v>
      </c>
      <c r="H5" s="8" t="s">
        <v>69</v>
      </c>
      <c r="I5" s="8" t="s">
        <v>70</v>
      </c>
      <c r="J5" s="8" t="s">
        <v>71</v>
      </c>
      <c r="K5" s="8" t="s">
        <v>72</v>
      </c>
      <c r="L5" s="8" t="s">
        <v>73</v>
      </c>
      <c r="M5" s="8" t="s">
        <v>74</v>
      </c>
      <c r="N5" s="8" t="s">
        <v>75</v>
      </c>
      <c r="O5" s="8" t="s">
        <v>76</v>
      </c>
      <c r="P5" s="14">
        <v>46193</v>
      </c>
      <c r="Q5" s="8" t="s">
        <v>77</v>
      </c>
      <c r="R5" s="8" t="s">
        <v>78</v>
      </c>
      <c r="S5" s="8" t="s">
        <v>70</v>
      </c>
      <c r="T5" s="13"/>
      <c r="U5" s="8" t="s">
        <v>690</v>
      </c>
      <c r="V5" s="8" t="s">
        <v>691</v>
      </c>
      <c r="W5" s="8" t="s">
        <v>692</v>
      </c>
      <c r="X5" s="8" t="s">
        <v>693</v>
      </c>
      <c r="Y5" s="8" t="s">
        <v>694</v>
      </c>
      <c r="Z5" s="8"/>
    </row>
    <row r="6" spans="1:26" ht="31.25" customHeight="1">
      <c r="A6" s="13">
        <v>2</v>
      </c>
      <c r="B6" s="8" t="s">
        <v>64</v>
      </c>
      <c r="C6" s="8" t="s">
        <v>65</v>
      </c>
      <c r="D6" s="8" t="s">
        <v>79</v>
      </c>
      <c r="E6" s="8" t="s">
        <v>7</v>
      </c>
      <c r="F6" s="8" t="s">
        <v>80</v>
      </c>
      <c r="G6" s="8" t="s">
        <v>81</v>
      </c>
      <c r="H6" s="8" t="s">
        <v>82</v>
      </c>
      <c r="I6" s="8" t="s">
        <v>83</v>
      </c>
      <c r="J6" s="8"/>
      <c r="K6" s="8" t="s">
        <v>72</v>
      </c>
      <c r="L6" s="8" t="s">
        <v>84</v>
      </c>
      <c r="M6" s="8" t="s">
        <v>74</v>
      </c>
      <c r="N6" s="8" t="s">
        <v>75</v>
      </c>
      <c r="O6" s="8" t="s">
        <v>76</v>
      </c>
      <c r="P6" s="14">
        <v>46193</v>
      </c>
      <c r="Q6" s="8" t="s">
        <v>85</v>
      </c>
      <c r="R6" s="8" t="s">
        <v>86</v>
      </c>
      <c r="S6" s="8" t="s">
        <v>83</v>
      </c>
      <c r="T6" s="13"/>
      <c r="U6" s="8" t="s">
        <v>690</v>
      </c>
      <c r="V6" s="8" t="s">
        <v>691</v>
      </c>
      <c r="W6" s="8" t="s">
        <v>692</v>
      </c>
      <c r="X6" s="8" t="s">
        <v>693</v>
      </c>
      <c r="Y6" s="8" t="s">
        <v>694</v>
      </c>
      <c r="Z6" s="8"/>
    </row>
    <row r="7" spans="1:26" ht="31.25" customHeight="1">
      <c r="A7" s="13">
        <v>3</v>
      </c>
      <c r="B7" s="8" t="s">
        <v>64</v>
      </c>
      <c r="C7" s="8" t="s">
        <v>65</v>
      </c>
      <c r="D7" s="8" t="s">
        <v>87</v>
      </c>
      <c r="E7" s="8" t="s">
        <v>7</v>
      </c>
      <c r="F7" s="8" t="s">
        <v>88</v>
      </c>
      <c r="G7" s="8" t="s">
        <v>81</v>
      </c>
      <c r="H7" s="8" t="s">
        <v>89</v>
      </c>
      <c r="I7" s="8" t="s">
        <v>90</v>
      </c>
      <c r="J7" s="8"/>
      <c r="K7" s="8" t="s">
        <v>72</v>
      </c>
      <c r="L7" s="8" t="s">
        <v>84</v>
      </c>
      <c r="M7" s="8" t="s">
        <v>74</v>
      </c>
      <c r="N7" s="8" t="s">
        <v>75</v>
      </c>
      <c r="O7" s="8" t="s">
        <v>76</v>
      </c>
      <c r="P7" s="14">
        <v>46193</v>
      </c>
      <c r="Q7" s="8" t="s">
        <v>85</v>
      </c>
      <c r="R7" s="8" t="s">
        <v>91</v>
      </c>
      <c r="S7" s="8" t="s">
        <v>90</v>
      </c>
      <c r="T7" s="13"/>
      <c r="U7" s="8" t="s">
        <v>690</v>
      </c>
      <c r="V7" s="8" t="s">
        <v>691</v>
      </c>
      <c r="W7" s="8" t="s">
        <v>692</v>
      </c>
      <c r="X7" s="8" t="s">
        <v>693</v>
      </c>
      <c r="Y7" s="8" t="s">
        <v>694</v>
      </c>
      <c r="Z7" s="8"/>
    </row>
    <row r="8" spans="1:26" ht="31.25" customHeight="1">
      <c r="A8" s="13">
        <v>4</v>
      </c>
      <c r="B8" s="8" t="s">
        <v>64</v>
      </c>
      <c r="C8" s="8" t="s">
        <v>65</v>
      </c>
      <c r="D8" s="8" t="s">
        <v>92</v>
      </c>
      <c r="E8" s="8" t="s">
        <v>7</v>
      </c>
      <c r="F8" s="8" t="s">
        <v>93</v>
      </c>
      <c r="G8" s="8" t="s">
        <v>94</v>
      </c>
      <c r="H8" s="8" t="s">
        <v>95</v>
      </c>
      <c r="I8" s="8" t="s">
        <v>96</v>
      </c>
      <c r="J8" s="8"/>
      <c r="K8" s="8" t="s">
        <v>72</v>
      </c>
      <c r="L8" s="8" t="s">
        <v>84</v>
      </c>
      <c r="M8" s="8" t="s">
        <v>74</v>
      </c>
      <c r="N8" s="8" t="s">
        <v>75</v>
      </c>
      <c r="O8" s="8" t="s">
        <v>76</v>
      </c>
      <c r="P8" s="14">
        <v>46193</v>
      </c>
      <c r="Q8" s="8" t="s">
        <v>85</v>
      </c>
      <c r="R8" s="8" t="s">
        <v>97</v>
      </c>
      <c r="S8" s="8" t="s">
        <v>96</v>
      </c>
      <c r="T8" s="13"/>
      <c r="U8" s="8" t="s">
        <v>690</v>
      </c>
      <c r="V8" s="8" t="s">
        <v>691</v>
      </c>
      <c r="W8" s="8" t="s">
        <v>692</v>
      </c>
      <c r="X8" s="8" t="s">
        <v>693</v>
      </c>
      <c r="Y8" s="8" t="s">
        <v>694</v>
      </c>
      <c r="Z8" s="8"/>
    </row>
    <row r="9" spans="1:26" ht="31.25" customHeight="1">
      <c r="A9" s="13">
        <v>5</v>
      </c>
      <c r="B9" s="8" t="s">
        <v>64</v>
      </c>
      <c r="C9" s="8" t="s">
        <v>65</v>
      </c>
      <c r="D9" s="8" t="s">
        <v>98</v>
      </c>
      <c r="E9" s="8" t="s">
        <v>7</v>
      </c>
      <c r="F9" s="8" t="s">
        <v>99</v>
      </c>
      <c r="G9" s="8" t="s">
        <v>100</v>
      </c>
      <c r="H9" s="8" t="s">
        <v>101</v>
      </c>
      <c r="I9" s="8" t="s">
        <v>102</v>
      </c>
      <c r="J9" s="8"/>
      <c r="K9" s="8" t="s">
        <v>72</v>
      </c>
      <c r="L9" s="8" t="s">
        <v>84</v>
      </c>
      <c r="M9" s="8" t="s">
        <v>74</v>
      </c>
      <c r="N9" s="8" t="s">
        <v>75</v>
      </c>
      <c r="O9" s="8" t="s">
        <v>76</v>
      </c>
      <c r="P9" s="14">
        <v>46193</v>
      </c>
      <c r="Q9" s="8" t="s">
        <v>85</v>
      </c>
      <c r="R9" s="8" t="s">
        <v>103</v>
      </c>
      <c r="S9" s="8" t="s">
        <v>102</v>
      </c>
      <c r="T9" s="13"/>
      <c r="U9" s="8" t="s">
        <v>690</v>
      </c>
      <c r="V9" s="8" t="s">
        <v>691</v>
      </c>
      <c r="W9" s="8" t="s">
        <v>692</v>
      </c>
      <c r="X9" s="8" t="s">
        <v>693</v>
      </c>
      <c r="Y9" s="8" t="s">
        <v>694</v>
      </c>
      <c r="Z9" s="8"/>
    </row>
    <row r="10" spans="1:26" ht="31.25" customHeight="1">
      <c r="A10" s="13">
        <v>6</v>
      </c>
      <c r="B10" s="8" t="s">
        <v>64</v>
      </c>
      <c r="C10" s="8" t="s">
        <v>65</v>
      </c>
      <c r="D10" s="8" t="s">
        <v>104</v>
      </c>
      <c r="E10" s="8" t="s">
        <v>7</v>
      </c>
      <c r="F10" s="8" t="s">
        <v>105</v>
      </c>
      <c r="G10" s="8" t="s">
        <v>81</v>
      </c>
      <c r="H10" s="8" t="s">
        <v>106</v>
      </c>
      <c r="I10" s="8" t="s">
        <v>107</v>
      </c>
      <c r="J10" s="8"/>
      <c r="K10" s="8" t="s">
        <v>72</v>
      </c>
      <c r="L10" s="8" t="s">
        <v>84</v>
      </c>
      <c r="M10" s="8" t="s">
        <v>74</v>
      </c>
      <c r="N10" s="8" t="s">
        <v>75</v>
      </c>
      <c r="O10" s="8" t="s">
        <v>76</v>
      </c>
      <c r="P10" s="14">
        <v>46193</v>
      </c>
      <c r="Q10" s="8" t="s">
        <v>85</v>
      </c>
      <c r="R10" s="8" t="s">
        <v>108</v>
      </c>
      <c r="S10" s="8" t="s">
        <v>107</v>
      </c>
      <c r="T10" s="13"/>
      <c r="U10" s="8" t="s">
        <v>690</v>
      </c>
      <c r="V10" s="8" t="s">
        <v>691</v>
      </c>
      <c r="W10" s="8" t="s">
        <v>692</v>
      </c>
      <c r="X10" s="8" t="s">
        <v>693</v>
      </c>
      <c r="Y10" s="8" t="s">
        <v>694</v>
      </c>
      <c r="Z10" s="8"/>
    </row>
    <row r="11" spans="1:26" ht="31.25" customHeight="1">
      <c r="A11" s="13">
        <v>7</v>
      </c>
      <c r="B11" s="8" t="s">
        <v>64</v>
      </c>
      <c r="C11" s="8" t="s">
        <v>65</v>
      </c>
      <c r="D11" s="8" t="s">
        <v>109</v>
      </c>
      <c r="E11" s="8" t="s">
        <v>7</v>
      </c>
      <c r="F11" s="8" t="s">
        <v>88</v>
      </c>
      <c r="G11" s="8" t="s">
        <v>81</v>
      </c>
      <c r="H11" s="8" t="s">
        <v>110</v>
      </c>
      <c r="I11" s="8" t="s">
        <v>111</v>
      </c>
      <c r="J11" s="8"/>
      <c r="K11" s="8" t="s">
        <v>72</v>
      </c>
      <c r="L11" s="8" t="s">
        <v>84</v>
      </c>
      <c r="M11" s="8" t="s">
        <v>74</v>
      </c>
      <c r="N11" s="8" t="s">
        <v>112</v>
      </c>
      <c r="O11" s="8" t="s">
        <v>76</v>
      </c>
      <c r="P11" s="14">
        <v>46193</v>
      </c>
      <c r="Q11" s="8" t="s">
        <v>85</v>
      </c>
      <c r="R11" s="8" t="s">
        <v>113</v>
      </c>
      <c r="S11" s="8" t="s">
        <v>111</v>
      </c>
      <c r="T11" s="13"/>
      <c r="U11" s="8" t="s">
        <v>690</v>
      </c>
      <c r="V11" s="8" t="s">
        <v>691</v>
      </c>
      <c r="W11" s="8" t="s">
        <v>692</v>
      </c>
      <c r="X11" s="8" t="s">
        <v>693</v>
      </c>
      <c r="Y11" s="8" t="s">
        <v>694</v>
      </c>
      <c r="Z11" s="8"/>
    </row>
    <row r="12" spans="1:26" ht="31.25" customHeight="1">
      <c r="A12" s="13">
        <v>8</v>
      </c>
      <c r="B12" s="8" t="s">
        <v>64</v>
      </c>
      <c r="C12" s="8" t="s">
        <v>65</v>
      </c>
      <c r="D12" s="8" t="s">
        <v>114</v>
      </c>
      <c r="E12" s="8" t="s">
        <v>7</v>
      </c>
      <c r="F12" s="8" t="s">
        <v>115</v>
      </c>
      <c r="G12" s="8" t="s">
        <v>81</v>
      </c>
      <c r="H12" s="8" t="s">
        <v>116</v>
      </c>
      <c r="I12" s="8" t="s">
        <v>117</v>
      </c>
      <c r="J12" s="8"/>
      <c r="K12" s="8" t="s">
        <v>72</v>
      </c>
      <c r="L12" s="8" t="s">
        <v>84</v>
      </c>
      <c r="M12" s="8" t="s">
        <v>118</v>
      </c>
      <c r="N12" s="8" t="s">
        <v>75</v>
      </c>
      <c r="O12" s="8" t="s">
        <v>76</v>
      </c>
      <c r="P12" s="14">
        <v>46193</v>
      </c>
      <c r="Q12" s="8" t="s">
        <v>85</v>
      </c>
      <c r="R12" s="8" t="s">
        <v>119</v>
      </c>
      <c r="S12" s="8" t="s">
        <v>117</v>
      </c>
      <c r="T12" s="13"/>
      <c r="U12" s="8" t="s">
        <v>690</v>
      </c>
      <c r="V12" s="8" t="s">
        <v>691</v>
      </c>
      <c r="W12" s="8" t="s">
        <v>692</v>
      </c>
      <c r="X12" s="8" t="s">
        <v>693</v>
      </c>
      <c r="Y12" s="8" t="s">
        <v>694</v>
      </c>
      <c r="Z12" s="8"/>
    </row>
    <row r="13" spans="1:26" ht="31.25" customHeight="1">
      <c r="A13" s="13">
        <v>9</v>
      </c>
      <c r="B13" s="8" t="s">
        <v>64</v>
      </c>
      <c r="C13" s="8" t="s">
        <v>65</v>
      </c>
      <c r="D13" s="8" t="s">
        <v>120</v>
      </c>
      <c r="E13" s="8" t="s">
        <v>7</v>
      </c>
      <c r="F13" s="8" t="s">
        <v>121</v>
      </c>
      <c r="G13" s="8" t="s">
        <v>122</v>
      </c>
      <c r="H13" s="8" t="s">
        <v>123</v>
      </c>
      <c r="I13" s="8" t="s">
        <v>124</v>
      </c>
      <c r="J13" s="8"/>
      <c r="K13" s="8" t="s">
        <v>72</v>
      </c>
      <c r="L13" s="8" t="s">
        <v>84</v>
      </c>
      <c r="M13" s="8" t="s">
        <v>74</v>
      </c>
      <c r="N13" s="8" t="s">
        <v>75</v>
      </c>
      <c r="O13" s="8" t="s">
        <v>76</v>
      </c>
      <c r="P13" s="14">
        <v>46193</v>
      </c>
      <c r="Q13" s="8" t="s">
        <v>85</v>
      </c>
      <c r="R13" s="8" t="s">
        <v>125</v>
      </c>
      <c r="S13" s="8" t="s">
        <v>124</v>
      </c>
      <c r="T13" s="13"/>
      <c r="U13" s="8" t="s">
        <v>690</v>
      </c>
      <c r="V13" s="8" t="s">
        <v>691</v>
      </c>
      <c r="W13" s="8" t="s">
        <v>692</v>
      </c>
      <c r="X13" s="8" t="s">
        <v>693</v>
      </c>
      <c r="Y13" s="8" t="s">
        <v>694</v>
      </c>
      <c r="Z13" s="8"/>
    </row>
    <row r="14" spans="1:26" ht="31.25" customHeight="1">
      <c r="A14" s="13">
        <v>10</v>
      </c>
      <c r="B14" s="8" t="s">
        <v>64</v>
      </c>
      <c r="C14" s="8" t="s">
        <v>65</v>
      </c>
      <c r="D14" s="8" t="s">
        <v>126</v>
      </c>
      <c r="E14" s="8" t="s">
        <v>7</v>
      </c>
      <c r="F14" s="8" t="s">
        <v>127</v>
      </c>
      <c r="G14" s="8" t="s">
        <v>128</v>
      </c>
      <c r="H14" s="8" t="s">
        <v>129</v>
      </c>
      <c r="I14" s="8" t="s">
        <v>130</v>
      </c>
      <c r="J14" s="8"/>
      <c r="K14" s="8" t="s">
        <v>72</v>
      </c>
      <c r="L14" s="8" t="s">
        <v>84</v>
      </c>
      <c r="M14" s="8" t="s">
        <v>74</v>
      </c>
      <c r="N14" s="8" t="s">
        <v>75</v>
      </c>
      <c r="O14" s="8" t="s">
        <v>76</v>
      </c>
      <c r="P14" s="14">
        <v>46193</v>
      </c>
      <c r="Q14" s="8" t="s">
        <v>85</v>
      </c>
      <c r="R14" s="8" t="s">
        <v>131</v>
      </c>
      <c r="S14" s="8" t="s">
        <v>130</v>
      </c>
      <c r="T14" s="13"/>
      <c r="U14" s="8" t="s">
        <v>690</v>
      </c>
      <c r="V14" s="8" t="s">
        <v>691</v>
      </c>
      <c r="W14" s="8" t="s">
        <v>692</v>
      </c>
      <c r="X14" s="8" t="s">
        <v>693</v>
      </c>
      <c r="Y14" s="8" t="s">
        <v>694</v>
      </c>
      <c r="Z14" s="8"/>
    </row>
    <row r="15" spans="1:26" ht="31.25" customHeight="1">
      <c r="A15" s="13">
        <v>11</v>
      </c>
      <c r="B15" s="8" t="s">
        <v>64</v>
      </c>
      <c r="C15" s="8" t="s">
        <v>132</v>
      </c>
      <c r="D15" s="8" t="s">
        <v>133</v>
      </c>
      <c r="E15" s="8" t="s">
        <v>7</v>
      </c>
      <c r="F15" s="8" t="s">
        <v>134</v>
      </c>
      <c r="G15" s="8" t="s">
        <v>135</v>
      </c>
      <c r="H15" s="8" t="s">
        <v>136</v>
      </c>
      <c r="I15" s="8" t="s">
        <v>137</v>
      </c>
      <c r="J15" s="8"/>
      <c r="K15" s="8" t="s">
        <v>72</v>
      </c>
      <c r="L15" s="8" t="s">
        <v>84</v>
      </c>
      <c r="M15" s="8" t="s">
        <v>74</v>
      </c>
      <c r="N15" s="8" t="s">
        <v>75</v>
      </c>
      <c r="O15" s="8" t="s">
        <v>76</v>
      </c>
      <c r="P15" s="14">
        <v>46193</v>
      </c>
      <c r="Q15" s="8" t="s">
        <v>85</v>
      </c>
      <c r="R15" s="8" t="s">
        <v>138</v>
      </c>
      <c r="S15" s="8" t="s">
        <v>137</v>
      </c>
      <c r="T15" s="13"/>
      <c r="U15" s="8" t="s">
        <v>690</v>
      </c>
      <c r="V15" s="8" t="s">
        <v>691</v>
      </c>
      <c r="W15" s="8" t="s">
        <v>692</v>
      </c>
      <c r="X15" s="8" t="s">
        <v>693</v>
      </c>
      <c r="Y15" s="8" t="s">
        <v>694</v>
      </c>
      <c r="Z15" s="8"/>
    </row>
    <row r="16" spans="1:26" ht="31.25" customHeight="1">
      <c r="A16" s="13">
        <v>12</v>
      </c>
      <c r="B16" s="8" t="s">
        <v>64</v>
      </c>
      <c r="C16" s="8" t="s">
        <v>132</v>
      </c>
      <c r="D16" s="8" t="s">
        <v>139</v>
      </c>
      <c r="E16" s="8" t="s">
        <v>7</v>
      </c>
      <c r="F16" s="8" t="s">
        <v>140</v>
      </c>
      <c r="G16" s="8" t="s">
        <v>81</v>
      </c>
      <c r="H16" s="8" t="s">
        <v>141</v>
      </c>
      <c r="I16" s="8" t="s">
        <v>142</v>
      </c>
      <c r="J16" s="8"/>
      <c r="K16" s="8" t="s">
        <v>72</v>
      </c>
      <c r="L16" s="8" t="s">
        <v>84</v>
      </c>
      <c r="M16" s="8" t="s">
        <v>74</v>
      </c>
      <c r="N16" s="8" t="s">
        <v>75</v>
      </c>
      <c r="O16" s="8" t="s">
        <v>76</v>
      </c>
      <c r="P16" s="14">
        <v>46193</v>
      </c>
      <c r="Q16" s="8" t="s">
        <v>85</v>
      </c>
      <c r="R16" s="8" t="s">
        <v>143</v>
      </c>
      <c r="S16" s="8" t="s">
        <v>142</v>
      </c>
      <c r="T16" s="13"/>
      <c r="U16" s="8" t="s">
        <v>690</v>
      </c>
      <c r="V16" s="8" t="s">
        <v>691</v>
      </c>
      <c r="W16" s="8" t="s">
        <v>692</v>
      </c>
      <c r="X16" s="8" t="s">
        <v>693</v>
      </c>
      <c r="Y16" s="8" t="s">
        <v>694</v>
      </c>
      <c r="Z16" s="8"/>
    </row>
    <row r="17" spans="1:26" ht="31.25" customHeight="1">
      <c r="A17" s="13">
        <v>13</v>
      </c>
      <c r="B17" s="8" t="s">
        <v>64</v>
      </c>
      <c r="C17" s="8" t="s">
        <v>132</v>
      </c>
      <c r="D17" s="8" t="s">
        <v>144</v>
      </c>
      <c r="E17" s="8" t="s">
        <v>7</v>
      </c>
      <c r="F17" s="8" t="s">
        <v>145</v>
      </c>
      <c r="G17" s="8" t="s">
        <v>141</v>
      </c>
      <c r="H17" s="8" t="s">
        <v>146</v>
      </c>
      <c r="I17" s="8" t="s">
        <v>147</v>
      </c>
      <c r="J17" s="8"/>
      <c r="K17" s="8" t="s">
        <v>72</v>
      </c>
      <c r="L17" s="8" t="s">
        <v>84</v>
      </c>
      <c r="M17" s="8" t="s">
        <v>118</v>
      </c>
      <c r="N17" s="8" t="s">
        <v>75</v>
      </c>
      <c r="O17" s="8" t="s">
        <v>76</v>
      </c>
      <c r="P17" s="14">
        <v>46193</v>
      </c>
      <c r="Q17" s="8" t="s">
        <v>85</v>
      </c>
      <c r="R17" s="8" t="s">
        <v>148</v>
      </c>
      <c r="S17" s="8" t="s">
        <v>147</v>
      </c>
      <c r="T17" s="13"/>
      <c r="U17" s="8" t="s">
        <v>690</v>
      </c>
      <c r="V17" s="8" t="s">
        <v>691</v>
      </c>
      <c r="W17" s="8" t="s">
        <v>692</v>
      </c>
      <c r="X17" s="8" t="s">
        <v>693</v>
      </c>
      <c r="Y17" s="8" t="s">
        <v>694</v>
      </c>
      <c r="Z17" s="8"/>
    </row>
    <row r="18" spans="1:26" ht="31.25" customHeight="1">
      <c r="A18" s="13">
        <v>14</v>
      </c>
      <c r="B18" s="8" t="s">
        <v>64</v>
      </c>
      <c r="C18" s="8" t="s">
        <v>132</v>
      </c>
      <c r="D18" s="8" t="s">
        <v>149</v>
      </c>
      <c r="E18" s="8" t="s">
        <v>7</v>
      </c>
      <c r="F18" s="8" t="s">
        <v>150</v>
      </c>
      <c r="G18" s="8" t="s">
        <v>122</v>
      </c>
      <c r="H18" s="8" t="s">
        <v>123</v>
      </c>
      <c r="I18" s="8" t="s">
        <v>151</v>
      </c>
      <c r="J18" s="8"/>
      <c r="K18" s="8" t="s">
        <v>72</v>
      </c>
      <c r="L18" s="8" t="s">
        <v>84</v>
      </c>
      <c r="M18" s="8" t="s">
        <v>118</v>
      </c>
      <c r="N18" s="8" t="s">
        <v>75</v>
      </c>
      <c r="O18" s="8" t="s">
        <v>76</v>
      </c>
      <c r="P18" s="14">
        <v>46193</v>
      </c>
      <c r="Q18" s="8" t="s">
        <v>85</v>
      </c>
      <c r="R18" s="8" t="s">
        <v>152</v>
      </c>
      <c r="S18" s="8" t="s">
        <v>151</v>
      </c>
      <c r="T18" s="13"/>
      <c r="U18" s="8" t="s">
        <v>690</v>
      </c>
      <c r="V18" s="8" t="s">
        <v>691</v>
      </c>
      <c r="W18" s="8" t="s">
        <v>692</v>
      </c>
      <c r="X18" s="8" t="s">
        <v>693</v>
      </c>
      <c r="Y18" s="8" t="s">
        <v>694</v>
      </c>
      <c r="Z18" s="8"/>
    </row>
    <row r="19" spans="1:26" ht="31.25" customHeight="1">
      <c r="A19" s="13">
        <v>15</v>
      </c>
      <c r="B19" s="8" t="s">
        <v>64</v>
      </c>
      <c r="C19" s="8" t="s">
        <v>132</v>
      </c>
      <c r="D19" s="8" t="s">
        <v>153</v>
      </c>
      <c r="E19" s="8" t="s">
        <v>7</v>
      </c>
      <c r="F19" s="8" t="s">
        <v>154</v>
      </c>
      <c r="G19" s="8" t="s">
        <v>155</v>
      </c>
      <c r="H19" s="8" t="s">
        <v>156</v>
      </c>
      <c r="I19" s="8" t="s">
        <v>157</v>
      </c>
      <c r="J19" s="8"/>
      <c r="K19" s="8" t="s">
        <v>72</v>
      </c>
      <c r="L19" s="8" t="s">
        <v>84</v>
      </c>
      <c r="M19" s="8" t="s">
        <v>74</v>
      </c>
      <c r="N19" s="8" t="s">
        <v>75</v>
      </c>
      <c r="O19" s="8" t="s">
        <v>76</v>
      </c>
      <c r="P19" s="14">
        <v>46193</v>
      </c>
      <c r="Q19" s="8" t="s">
        <v>85</v>
      </c>
      <c r="R19" s="8" t="s">
        <v>158</v>
      </c>
      <c r="S19" s="8" t="s">
        <v>157</v>
      </c>
      <c r="T19" s="13"/>
      <c r="U19" s="8" t="s">
        <v>690</v>
      </c>
      <c r="V19" s="8" t="s">
        <v>691</v>
      </c>
      <c r="W19" s="8" t="s">
        <v>692</v>
      </c>
      <c r="X19" s="8" t="s">
        <v>693</v>
      </c>
      <c r="Y19" s="8" t="s">
        <v>694</v>
      </c>
      <c r="Z19" s="8"/>
    </row>
    <row r="20" spans="1:26" ht="31.25" customHeight="1">
      <c r="A20" s="13">
        <v>16</v>
      </c>
      <c r="B20" s="8" t="s">
        <v>64</v>
      </c>
      <c r="C20" s="8" t="s">
        <v>132</v>
      </c>
      <c r="D20" s="8" t="s">
        <v>159</v>
      </c>
      <c r="E20" s="8" t="s">
        <v>7</v>
      </c>
      <c r="F20" s="8" t="s">
        <v>160</v>
      </c>
      <c r="G20" s="8" t="s">
        <v>161</v>
      </c>
      <c r="H20" s="8" t="s">
        <v>162</v>
      </c>
      <c r="I20" s="8" t="s">
        <v>163</v>
      </c>
      <c r="J20" s="8"/>
      <c r="K20" s="8" t="s">
        <v>72</v>
      </c>
      <c r="L20" s="8" t="s">
        <v>84</v>
      </c>
      <c r="M20" s="8" t="s">
        <v>74</v>
      </c>
      <c r="N20" s="8" t="s">
        <v>75</v>
      </c>
      <c r="O20" s="8" t="s">
        <v>76</v>
      </c>
      <c r="P20" s="14">
        <v>46193</v>
      </c>
      <c r="Q20" s="8" t="s">
        <v>85</v>
      </c>
      <c r="R20" s="8" t="s">
        <v>164</v>
      </c>
      <c r="S20" s="8" t="s">
        <v>163</v>
      </c>
      <c r="T20" s="13"/>
      <c r="U20" s="8" t="s">
        <v>690</v>
      </c>
      <c r="V20" s="8" t="s">
        <v>691</v>
      </c>
      <c r="W20" s="8" t="s">
        <v>692</v>
      </c>
      <c r="X20" s="8" t="s">
        <v>693</v>
      </c>
      <c r="Y20" s="8" t="s">
        <v>694</v>
      </c>
      <c r="Z20" s="8"/>
    </row>
    <row r="21" spans="1:26" ht="31.25" customHeight="1">
      <c r="A21" s="13">
        <v>17</v>
      </c>
      <c r="B21" s="8" t="s">
        <v>64</v>
      </c>
      <c r="C21" s="8" t="s">
        <v>132</v>
      </c>
      <c r="D21" s="8" t="s">
        <v>165</v>
      </c>
      <c r="E21" s="8" t="s">
        <v>17</v>
      </c>
      <c r="F21" s="8" t="s">
        <v>166</v>
      </c>
      <c r="G21" s="8" t="s">
        <v>141</v>
      </c>
      <c r="H21" s="8" t="s">
        <v>167</v>
      </c>
      <c r="I21" s="8" t="s">
        <v>168</v>
      </c>
      <c r="J21" s="8"/>
      <c r="K21" s="8" t="s">
        <v>72</v>
      </c>
      <c r="L21" s="8" t="s">
        <v>84</v>
      </c>
      <c r="M21" s="8" t="s">
        <v>74</v>
      </c>
      <c r="N21" s="8" t="s">
        <v>75</v>
      </c>
      <c r="O21" s="8" t="s">
        <v>76</v>
      </c>
      <c r="P21" s="14">
        <v>46193</v>
      </c>
      <c r="Q21" s="8" t="s">
        <v>85</v>
      </c>
      <c r="R21" s="8" t="s">
        <v>169</v>
      </c>
      <c r="S21" s="8" t="s">
        <v>168</v>
      </c>
      <c r="T21" s="13"/>
      <c r="U21" s="8" t="s">
        <v>690</v>
      </c>
      <c r="V21" s="8" t="s">
        <v>691</v>
      </c>
      <c r="W21" s="8" t="s">
        <v>692</v>
      </c>
      <c r="X21" s="8" t="s">
        <v>693</v>
      </c>
      <c r="Y21" s="8" t="s">
        <v>694</v>
      </c>
      <c r="Z21" s="8"/>
    </row>
    <row r="22" spans="1:26" ht="31.25" customHeight="1">
      <c r="A22" s="13">
        <v>18</v>
      </c>
      <c r="B22" s="8" t="s">
        <v>64</v>
      </c>
      <c r="C22" s="8" t="s">
        <v>132</v>
      </c>
      <c r="D22" s="8" t="s">
        <v>170</v>
      </c>
      <c r="E22" s="8" t="s">
        <v>7</v>
      </c>
      <c r="F22" s="8" t="s">
        <v>171</v>
      </c>
      <c r="G22" s="8" t="s">
        <v>128</v>
      </c>
      <c r="H22" s="8" t="s">
        <v>129</v>
      </c>
      <c r="I22" s="8" t="s">
        <v>172</v>
      </c>
      <c r="J22" s="8"/>
      <c r="K22" s="8" t="s">
        <v>72</v>
      </c>
      <c r="L22" s="8" t="s">
        <v>84</v>
      </c>
      <c r="M22" s="8" t="s">
        <v>118</v>
      </c>
      <c r="N22" s="8" t="s">
        <v>75</v>
      </c>
      <c r="O22" s="8" t="s">
        <v>76</v>
      </c>
      <c r="P22" s="14">
        <v>46193</v>
      </c>
      <c r="Q22" s="8" t="s">
        <v>85</v>
      </c>
      <c r="R22" s="8" t="s">
        <v>173</v>
      </c>
      <c r="S22" s="8" t="s">
        <v>172</v>
      </c>
      <c r="T22" s="13"/>
      <c r="U22" s="8" t="s">
        <v>690</v>
      </c>
      <c r="V22" s="8" t="s">
        <v>691</v>
      </c>
      <c r="W22" s="8" t="s">
        <v>692</v>
      </c>
      <c r="X22" s="8" t="s">
        <v>693</v>
      </c>
      <c r="Y22" s="8" t="s">
        <v>694</v>
      </c>
      <c r="Z22" s="8"/>
    </row>
    <row r="23" spans="1:26" ht="31.25" customHeight="1">
      <c r="A23" s="13">
        <v>19</v>
      </c>
      <c r="B23" s="8" t="s">
        <v>64</v>
      </c>
      <c r="C23" s="8" t="s">
        <v>132</v>
      </c>
      <c r="D23" s="8" t="s">
        <v>174</v>
      </c>
      <c r="E23" s="8" t="s">
        <v>7</v>
      </c>
      <c r="F23" s="8" t="s">
        <v>175</v>
      </c>
      <c r="G23" s="8" t="s">
        <v>176</v>
      </c>
      <c r="H23" s="8" t="s">
        <v>177</v>
      </c>
      <c r="I23" s="8" t="s">
        <v>178</v>
      </c>
      <c r="J23" s="8"/>
      <c r="K23" s="8" t="s">
        <v>72</v>
      </c>
      <c r="L23" s="8" t="s">
        <v>84</v>
      </c>
      <c r="M23" s="8" t="s">
        <v>118</v>
      </c>
      <c r="N23" s="8" t="s">
        <v>75</v>
      </c>
      <c r="O23" s="8" t="s">
        <v>76</v>
      </c>
      <c r="P23" s="14">
        <v>46193</v>
      </c>
      <c r="Q23" s="8" t="s">
        <v>85</v>
      </c>
      <c r="R23" s="8" t="s">
        <v>179</v>
      </c>
      <c r="S23" s="8" t="s">
        <v>178</v>
      </c>
      <c r="T23" s="13"/>
      <c r="U23" s="8" t="s">
        <v>690</v>
      </c>
      <c r="V23" s="8" t="s">
        <v>691</v>
      </c>
      <c r="W23" s="8" t="s">
        <v>692</v>
      </c>
      <c r="X23" s="8" t="s">
        <v>693</v>
      </c>
      <c r="Y23" s="8" t="s">
        <v>694</v>
      </c>
      <c r="Z23" s="8"/>
    </row>
    <row r="24" spans="1:26" ht="31.25" customHeight="1">
      <c r="A24" s="13">
        <v>20</v>
      </c>
      <c r="B24" s="8" t="s">
        <v>64</v>
      </c>
      <c r="C24" s="8" t="s">
        <v>132</v>
      </c>
      <c r="D24" s="8" t="s">
        <v>180</v>
      </c>
      <c r="E24" s="8" t="s">
        <v>7</v>
      </c>
      <c r="F24" s="8" t="s">
        <v>181</v>
      </c>
      <c r="G24" s="8" t="s">
        <v>122</v>
      </c>
      <c r="H24" s="8" t="s">
        <v>123</v>
      </c>
      <c r="I24" s="8" t="s">
        <v>182</v>
      </c>
      <c r="J24" s="8"/>
      <c r="K24" s="8" t="s">
        <v>72</v>
      </c>
      <c r="L24" s="8" t="s">
        <v>84</v>
      </c>
      <c r="M24" s="8" t="s">
        <v>118</v>
      </c>
      <c r="N24" s="8" t="s">
        <v>75</v>
      </c>
      <c r="O24" s="8" t="s">
        <v>76</v>
      </c>
      <c r="P24" s="14">
        <v>46193</v>
      </c>
      <c r="Q24" s="8" t="s">
        <v>85</v>
      </c>
      <c r="R24" s="8" t="s">
        <v>183</v>
      </c>
      <c r="S24" s="8" t="s">
        <v>182</v>
      </c>
      <c r="T24" s="13"/>
      <c r="U24" s="8" t="s">
        <v>690</v>
      </c>
      <c r="V24" s="8" t="s">
        <v>691</v>
      </c>
      <c r="W24" s="8" t="s">
        <v>692</v>
      </c>
      <c r="X24" s="8" t="s">
        <v>693</v>
      </c>
      <c r="Y24" s="8" t="s">
        <v>694</v>
      </c>
      <c r="Z24" s="8"/>
    </row>
    <row r="25" spans="1:26" ht="31.25" customHeight="1">
      <c r="A25" s="13">
        <v>21</v>
      </c>
      <c r="B25" s="8" t="s">
        <v>64</v>
      </c>
      <c r="C25" s="8" t="s">
        <v>184</v>
      </c>
      <c r="D25" s="8" t="s">
        <v>185</v>
      </c>
      <c r="E25" s="8" t="s">
        <v>7</v>
      </c>
      <c r="F25" s="8" t="s">
        <v>186</v>
      </c>
      <c r="G25" s="8" t="s">
        <v>128</v>
      </c>
      <c r="H25" s="8" t="s">
        <v>187</v>
      </c>
      <c r="I25" s="8" t="s">
        <v>188</v>
      </c>
      <c r="J25" s="8"/>
      <c r="K25" s="8" t="s">
        <v>72</v>
      </c>
      <c r="L25" s="8" t="s">
        <v>84</v>
      </c>
      <c r="M25" s="8" t="s">
        <v>118</v>
      </c>
      <c r="N25" s="8" t="s">
        <v>75</v>
      </c>
      <c r="O25" s="8" t="s">
        <v>76</v>
      </c>
      <c r="P25" s="14">
        <v>46193</v>
      </c>
      <c r="Q25" s="8" t="s">
        <v>85</v>
      </c>
      <c r="R25" s="8" t="s">
        <v>189</v>
      </c>
      <c r="S25" s="8" t="s">
        <v>188</v>
      </c>
      <c r="T25" s="13"/>
      <c r="U25" s="8" t="s">
        <v>690</v>
      </c>
      <c r="V25" s="8" t="s">
        <v>691</v>
      </c>
      <c r="W25" s="8" t="s">
        <v>692</v>
      </c>
      <c r="X25" s="8" t="s">
        <v>693</v>
      </c>
      <c r="Y25" s="8" t="s">
        <v>694</v>
      </c>
      <c r="Z25" s="8"/>
    </row>
    <row r="26" spans="1:26" ht="31.25" customHeight="1">
      <c r="A26" s="13">
        <v>22</v>
      </c>
      <c r="B26" s="8" t="s">
        <v>64</v>
      </c>
      <c r="C26" s="8" t="s">
        <v>184</v>
      </c>
      <c r="D26" s="8" t="s">
        <v>190</v>
      </c>
      <c r="E26" s="8" t="s">
        <v>7</v>
      </c>
      <c r="F26" s="8" t="s">
        <v>191</v>
      </c>
      <c r="G26" s="8" t="s">
        <v>122</v>
      </c>
      <c r="H26" s="8" t="s">
        <v>192</v>
      </c>
      <c r="I26" s="8" t="s">
        <v>193</v>
      </c>
      <c r="J26" s="8"/>
      <c r="K26" s="8" t="s">
        <v>72</v>
      </c>
      <c r="L26" s="8" t="s">
        <v>84</v>
      </c>
      <c r="M26" s="8" t="s">
        <v>74</v>
      </c>
      <c r="N26" s="8" t="s">
        <v>112</v>
      </c>
      <c r="O26" s="8" t="s">
        <v>76</v>
      </c>
      <c r="P26" s="14">
        <v>46193</v>
      </c>
      <c r="Q26" s="8" t="s">
        <v>85</v>
      </c>
      <c r="R26" s="8" t="s">
        <v>194</v>
      </c>
      <c r="S26" s="8" t="s">
        <v>193</v>
      </c>
      <c r="T26" s="13"/>
      <c r="U26" s="8" t="s">
        <v>690</v>
      </c>
      <c r="V26" s="8" t="s">
        <v>691</v>
      </c>
      <c r="W26" s="8" t="s">
        <v>692</v>
      </c>
      <c r="X26" s="8" t="s">
        <v>693</v>
      </c>
      <c r="Y26" s="8" t="s">
        <v>694</v>
      </c>
      <c r="Z26" s="8"/>
    </row>
    <row r="27" spans="1:26" ht="31.25" customHeight="1">
      <c r="A27" s="13">
        <v>23</v>
      </c>
      <c r="B27" s="8" t="s">
        <v>64</v>
      </c>
      <c r="C27" s="8" t="s">
        <v>184</v>
      </c>
      <c r="D27" s="8" t="s">
        <v>195</v>
      </c>
      <c r="E27" s="8" t="s">
        <v>7</v>
      </c>
      <c r="F27" s="8" t="s">
        <v>196</v>
      </c>
      <c r="G27" s="8" t="s">
        <v>122</v>
      </c>
      <c r="H27" s="8" t="s">
        <v>197</v>
      </c>
      <c r="I27" s="8" t="s">
        <v>198</v>
      </c>
      <c r="J27" s="8"/>
      <c r="K27" s="8" t="s">
        <v>72</v>
      </c>
      <c r="L27" s="8" t="s">
        <v>84</v>
      </c>
      <c r="M27" s="8" t="s">
        <v>118</v>
      </c>
      <c r="N27" s="8" t="s">
        <v>112</v>
      </c>
      <c r="O27" s="8" t="s">
        <v>76</v>
      </c>
      <c r="P27" s="14">
        <v>46193</v>
      </c>
      <c r="Q27" s="8" t="s">
        <v>85</v>
      </c>
      <c r="R27" s="8" t="s">
        <v>199</v>
      </c>
      <c r="S27" s="8" t="s">
        <v>198</v>
      </c>
      <c r="T27" s="13"/>
      <c r="U27" s="8" t="s">
        <v>690</v>
      </c>
      <c r="V27" s="8" t="s">
        <v>691</v>
      </c>
      <c r="W27" s="8" t="s">
        <v>692</v>
      </c>
      <c r="X27" s="8" t="s">
        <v>693</v>
      </c>
      <c r="Y27" s="8" t="s">
        <v>694</v>
      </c>
      <c r="Z27" s="8"/>
    </row>
    <row r="28" spans="1:26" ht="31.25" customHeight="1">
      <c r="A28" s="13">
        <v>24</v>
      </c>
      <c r="B28" s="8" t="s">
        <v>64</v>
      </c>
      <c r="C28" s="8" t="s">
        <v>184</v>
      </c>
      <c r="D28" s="8" t="s">
        <v>200</v>
      </c>
      <c r="E28" s="8" t="s">
        <v>7</v>
      </c>
      <c r="F28" s="8" t="s">
        <v>201</v>
      </c>
      <c r="G28" s="8" t="s">
        <v>176</v>
      </c>
      <c r="H28" s="8" t="s">
        <v>202</v>
      </c>
      <c r="I28" s="8" t="s">
        <v>203</v>
      </c>
      <c r="J28" s="8"/>
      <c r="K28" s="8" t="s">
        <v>72</v>
      </c>
      <c r="L28" s="8" t="s">
        <v>84</v>
      </c>
      <c r="M28" s="8" t="s">
        <v>74</v>
      </c>
      <c r="N28" s="8" t="s">
        <v>75</v>
      </c>
      <c r="O28" s="8" t="s">
        <v>76</v>
      </c>
      <c r="P28" s="14">
        <v>46193</v>
      </c>
      <c r="Q28" s="8" t="s">
        <v>85</v>
      </c>
      <c r="R28" s="8" t="s">
        <v>204</v>
      </c>
      <c r="S28" s="8" t="s">
        <v>203</v>
      </c>
      <c r="T28" s="13"/>
      <c r="U28" s="8" t="s">
        <v>690</v>
      </c>
      <c r="V28" s="8" t="s">
        <v>691</v>
      </c>
      <c r="W28" s="8" t="s">
        <v>692</v>
      </c>
      <c r="X28" s="8" t="s">
        <v>693</v>
      </c>
      <c r="Y28" s="8" t="s">
        <v>694</v>
      </c>
      <c r="Z28" s="8"/>
    </row>
    <row r="29" spans="1:26" ht="31.25" customHeight="1">
      <c r="A29" s="13">
        <v>25</v>
      </c>
      <c r="B29" s="8" t="s">
        <v>64</v>
      </c>
      <c r="C29" s="8" t="s">
        <v>184</v>
      </c>
      <c r="D29" s="8" t="s">
        <v>205</v>
      </c>
      <c r="E29" s="8" t="s">
        <v>7</v>
      </c>
      <c r="F29" s="8" t="s">
        <v>206</v>
      </c>
      <c r="G29" s="8" t="s">
        <v>207</v>
      </c>
      <c r="H29" s="8" t="s">
        <v>208</v>
      </c>
      <c r="I29" s="8" t="s">
        <v>209</v>
      </c>
      <c r="J29" s="8"/>
      <c r="K29" s="8" t="s">
        <v>72</v>
      </c>
      <c r="L29" s="8" t="s">
        <v>84</v>
      </c>
      <c r="M29" s="8" t="s">
        <v>74</v>
      </c>
      <c r="N29" s="8" t="s">
        <v>112</v>
      </c>
      <c r="O29" s="8" t="s">
        <v>76</v>
      </c>
      <c r="P29" s="14">
        <v>46193</v>
      </c>
      <c r="Q29" s="8" t="s">
        <v>85</v>
      </c>
      <c r="R29" s="8" t="s">
        <v>210</v>
      </c>
      <c r="S29" s="8" t="s">
        <v>209</v>
      </c>
      <c r="T29" s="13"/>
      <c r="U29" s="8" t="s">
        <v>690</v>
      </c>
      <c r="V29" s="8" t="s">
        <v>691</v>
      </c>
      <c r="W29" s="8" t="s">
        <v>692</v>
      </c>
      <c r="X29" s="8" t="s">
        <v>693</v>
      </c>
      <c r="Y29" s="8" t="s">
        <v>694</v>
      </c>
      <c r="Z29" s="8"/>
    </row>
    <row r="30" spans="1:26" ht="31.25" customHeight="1">
      <c r="A30" s="13">
        <v>26</v>
      </c>
      <c r="B30" s="8" t="s">
        <v>64</v>
      </c>
      <c r="C30" s="8" t="s">
        <v>184</v>
      </c>
      <c r="D30" s="8" t="s">
        <v>211</v>
      </c>
      <c r="E30" s="8" t="s">
        <v>7</v>
      </c>
      <c r="F30" s="8" t="s">
        <v>212</v>
      </c>
      <c r="G30" s="8" t="s">
        <v>122</v>
      </c>
      <c r="H30" s="8" t="s">
        <v>213</v>
      </c>
      <c r="I30" s="8" t="s">
        <v>214</v>
      </c>
      <c r="J30" s="8"/>
      <c r="K30" s="8" t="s">
        <v>72</v>
      </c>
      <c r="L30" s="8" t="s">
        <v>84</v>
      </c>
      <c r="M30" s="8" t="s">
        <v>118</v>
      </c>
      <c r="N30" s="8" t="s">
        <v>75</v>
      </c>
      <c r="O30" s="8" t="s">
        <v>76</v>
      </c>
      <c r="P30" s="14">
        <v>46193</v>
      </c>
      <c r="Q30" s="8" t="s">
        <v>85</v>
      </c>
      <c r="R30" s="8" t="s">
        <v>215</v>
      </c>
      <c r="S30" s="8" t="s">
        <v>214</v>
      </c>
      <c r="T30" s="13"/>
      <c r="U30" s="8" t="s">
        <v>690</v>
      </c>
      <c r="V30" s="8" t="s">
        <v>691</v>
      </c>
      <c r="W30" s="8" t="s">
        <v>692</v>
      </c>
      <c r="X30" s="8" t="s">
        <v>693</v>
      </c>
      <c r="Y30" s="8" t="s">
        <v>694</v>
      </c>
      <c r="Z30" s="8"/>
    </row>
    <row r="31" spans="1:26" ht="31.25" customHeight="1">
      <c r="A31" s="13">
        <v>27</v>
      </c>
      <c r="B31" s="8" t="s">
        <v>64</v>
      </c>
      <c r="C31" s="8" t="s">
        <v>184</v>
      </c>
      <c r="D31" s="8" t="s">
        <v>216</v>
      </c>
      <c r="E31" s="8" t="s">
        <v>7</v>
      </c>
      <c r="F31" s="8" t="s">
        <v>217</v>
      </c>
      <c r="G31" s="8" t="s">
        <v>122</v>
      </c>
      <c r="H31" s="8" t="s">
        <v>218</v>
      </c>
      <c r="I31" s="8" t="s">
        <v>219</v>
      </c>
      <c r="J31" s="8"/>
      <c r="K31" s="8" t="s">
        <v>72</v>
      </c>
      <c r="L31" s="8" t="s">
        <v>84</v>
      </c>
      <c r="M31" s="8" t="s">
        <v>74</v>
      </c>
      <c r="N31" s="8" t="s">
        <v>75</v>
      </c>
      <c r="O31" s="8" t="s">
        <v>76</v>
      </c>
      <c r="P31" s="14">
        <v>46193</v>
      </c>
      <c r="Q31" s="8" t="s">
        <v>85</v>
      </c>
      <c r="R31" s="8" t="s">
        <v>220</v>
      </c>
      <c r="S31" s="8" t="s">
        <v>219</v>
      </c>
      <c r="T31" s="13"/>
      <c r="U31" s="8" t="s">
        <v>690</v>
      </c>
      <c r="V31" s="8" t="s">
        <v>691</v>
      </c>
      <c r="W31" s="8" t="s">
        <v>692</v>
      </c>
      <c r="X31" s="8" t="s">
        <v>693</v>
      </c>
      <c r="Y31" s="8" t="s">
        <v>694</v>
      </c>
      <c r="Z31" s="8"/>
    </row>
    <row r="32" spans="1:26" ht="31.25" customHeight="1">
      <c r="A32" s="13">
        <v>28</v>
      </c>
      <c r="B32" s="8" t="s">
        <v>64</v>
      </c>
      <c r="C32" s="8" t="s">
        <v>184</v>
      </c>
      <c r="D32" s="8" t="s">
        <v>221</v>
      </c>
      <c r="E32" s="8" t="s">
        <v>7</v>
      </c>
      <c r="F32" s="8" t="s">
        <v>222</v>
      </c>
      <c r="G32" s="8" t="s">
        <v>122</v>
      </c>
      <c r="H32" s="8" t="s">
        <v>223</v>
      </c>
      <c r="I32" s="8" t="s">
        <v>224</v>
      </c>
      <c r="J32" s="8"/>
      <c r="K32" s="8" t="s">
        <v>72</v>
      </c>
      <c r="L32" s="8" t="s">
        <v>84</v>
      </c>
      <c r="M32" s="8" t="s">
        <v>118</v>
      </c>
      <c r="N32" s="8" t="s">
        <v>75</v>
      </c>
      <c r="O32" s="8" t="s">
        <v>76</v>
      </c>
      <c r="P32" s="14">
        <v>46193</v>
      </c>
      <c r="Q32" s="8" t="s">
        <v>85</v>
      </c>
      <c r="R32" s="8" t="s">
        <v>225</v>
      </c>
      <c r="S32" s="8" t="s">
        <v>224</v>
      </c>
      <c r="T32" s="13"/>
      <c r="U32" s="8" t="s">
        <v>690</v>
      </c>
      <c r="V32" s="8" t="s">
        <v>691</v>
      </c>
      <c r="W32" s="8" t="s">
        <v>692</v>
      </c>
      <c r="X32" s="8" t="s">
        <v>693</v>
      </c>
      <c r="Y32" s="8" t="s">
        <v>694</v>
      </c>
      <c r="Z32" s="8"/>
    </row>
    <row r="33" spans="1:26" s="21" customFormat="1" ht="31.25" customHeight="1">
      <c r="A33" s="18">
        <v>29</v>
      </c>
      <c r="B33" s="19" t="s">
        <v>64</v>
      </c>
      <c r="C33" s="19" t="s">
        <v>65</v>
      </c>
      <c r="D33" s="19" t="s">
        <v>226</v>
      </c>
      <c r="E33" s="19" t="s">
        <v>9</v>
      </c>
      <c r="F33" s="19" t="s">
        <v>227</v>
      </c>
      <c r="G33" s="19" t="s">
        <v>141</v>
      </c>
      <c r="H33" s="19" t="s">
        <v>228</v>
      </c>
      <c r="I33" s="19" t="s">
        <v>229</v>
      </c>
      <c r="J33" s="19"/>
      <c r="K33" s="19" t="s">
        <v>72</v>
      </c>
      <c r="L33" s="19" t="s">
        <v>84</v>
      </c>
      <c r="M33" s="19" t="s">
        <v>74</v>
      </c>
      <c r="N33" s="19" t="s">
        <v>75</v>
      </c>
      <c r="O33" s="19" t="s">
        <v>76</v>
      </c>
      <c r="P33" s="20">
        <v>46193</v>
      </c>
      <c r="Q33" s="19" t="s">
        <v>85</v>
      </c>
      <c r="R33" s="19" t="s">
        <v>230</v>
      </c>
      <c r="S33" s="19" t="s">
        <v>229</v>
      </c>
      <c r="T33" s="18"/>
      <c r="U33" s="19" t="s">
        <v>690</v>
      </c>
      <c r="V33" s="19" t="s">
        <v>691</v>
      </c>
      <c r="W33" s="19" t="s">
        <v>692</v>
      </c>
      <c r="X33" s="19" t="s">
        <v>693</v>
      </c>
      <c r="Y33" s="19" t="s">
        <v>694</v>
      </c>
      <c r="Z33" s="19"/>
    </row>
    <row r="34" spans="1:26" ht="31.25" customHeight="1">
      <c r="A34" s="13">
        <v>30</v>
      </c>
      <c r="B34" s="8" t="s">
        <v>64</v>
      </c>
      <c r="C34" s="8" t="s">
        <v>65</v>
      </c>
      <c r="D34" s="8" t="s">
        <v>231</v>
      </c>
      <c r="E34" s="8" t="s">
        <v>9</v>
      </c>
      <c r="F34" s="8" t="s">
        <v>232</v>
      </c>
      <c r="G34" s="8" t="s">
        <v>81</v>
      </c>
      <c r="H34" s="8" t="s">
        <v>233</v>
      </c>
      <c r="I34" s="8" t="s">
        <v>234</v>
      </c>
      <c r="J34" s="8" t="s">
        <v>235</v>
      </c>
      <c r="K34" s="8" t="s">
        <v>72</v>
      </c>
      <c r="L34" s="8" t="s">
        <v>73</v>
      </c>
      <c r="M34" s="8" t="s">
        <v>74</v>
      </c>
      <c r="N34" s="8" t="s">
        <v>112</v>
      </c>
      <c r="O34" s="8" t="s">
        <v>76</v>
      </c>
      <c r="P34" s="14">
        <v>46193</v>
      </c>
      <c r="Q34" s="8" t="s">
        <v>77</v>
      </c>
      <c r="R34" s="8" t="s">
        <v>236</v>
      </c>
      <c r="S34" s="8" t="s">
        <v>234</v>
      </c>
      <c r="T34" s="13"/>
      <c r="U34" s="8" t="s">
        <v>690</v>
      </c>
      <c r="V34" s="8" t="s">
        <v>691</v>
      </c>
      <c r="W34" s="8" t="s">
        <v>692</v>
      </c>
      <c r="X34" s="8" t="s">
        <v>693</v>
      </c>
      <c r="Y34" s="8" t="s">
        <v>694</v>
      </c>
      <c r="Z34" s="8"/>
    </row>
    <row r="35" spans="1:26" ht="31.25" customHeight="1">
      <c r="A35" s="13">
        <v>31</v>
      </c>
      <c r="B35" s="8" t="s">
        <v>64</v>
      </c>
      <c r="C35" s="8" t="s">
        <v>65</v>
      </c>
      <c r="D35" s="8" t="s">
        <v>237</v>
      </c>
      <c r="E35" s="8" t="s">
        <v>9</v>
      </c>
      <c r="F35" s="8" t="s">
        <v>238</v>
      </c>
      <c r="G35" s="8" t="s">
        <v>81</v>
      </c>
      <c r="H35" s="8" t="s">
        <v>239</v>
      </c>
      <c r="I35" s="8" t="s">
        <v>240</v>
      </c>
      <c r="J35" s="8"/>
      <c r="K35" s="8" t="s">
        <v>72</v>
      </c>
      <c r="L35" s="8" t="s">
        <v>84</v>
      </c>
      <c r="M35" s="8" t="s">
        <v>74</v>
      </c>
      <c r="N35" s="8" t="s">
        <v>112</v>
      </c>
      <c r="O35" s="8" t="s">
        <v>76</v>
      </c>
      <c r="P35" s="14">
        <v>46193</v>
      </c>
      <c r="Q35" s="8" t="s">
        <v>85</v>
      </c>
      <c r="R35" s="8" t="s">
        <v>241</v>
      </c>
      <c r="S35" s="8" t="s">
        <v>240</v>
      </c>
      <c r="T35" s="13"/>
      <c r="U35" s="8" t="s">
        <v>690</v>
      </c>
      <c r="V35" s="8" t="s">
        <v>691</v>
      </c>
      <c r="W35" s="8" t="s">
        <v>692</v>
      </c>
      <c r="X35" s="8" t="s">
        <v>693</v>
      </c>
      <c r="Y35" s="8" t="s">
        <v>694</v>
      </c>
      <c r="Z35" s="8"/>
    </row>
    <row r="36" spans="1:26" ht="31.25" customHeight="1">
      <c r="A36" s="13">
        <v>32</v>
      </c>
      <c r="B36" s="8" t="s">
        <v>64</v>
      </c>
      <c r="C36" s="8" t="s">
        <v>132</v>
      </c>
      <c r="D36" s="8" t="s">
        <v>242</v>
      </c>
      <c r="E36" s="8" t="s">
        <v>9</v>
      </c>
      <c r="F36" s="8" t="s">
        <v>243</v>
      </c>
      <c r="G36" s="8" t="s">
        <v>81</v>
      </c>
      <c r="H36" s="8" t="s">
        <v>244</v>
      </c>
      <c r="I36" s="8" t="s">
        <v>245</v>
      </c>
      <c r="J36" s="8"/>
      <c r="K36" s="8" t="s">
        <v>72</v>
      </c>
      <c r="L36" s="8" t="s">
        <v>84</v>
      </c>
      <c r="M36" s="8" t="s">
        <v>118</v>
      </c>
      <c r="N36" s="8" t="s">
        <v>75</v>
      </c>
      <c r="O36" s="8" t="s">
        <v>76</v>
      </c>
      <c r="P36" s="14">
        <v>46193</v>
      </c>
      <c r="Q36" s="8" t="s">
        <v>85</v>
      </c>
      <c r="R36" s="8" t="s">
        <v>246</v>
      </c>
      <c r="S36" s="8" t="s">
        <v>245</v>
      </c>
      <c r="T36" s="13"/>
      <c r="U36" s="8" t="s">
        <v>690</v>
      </c>
      <c r="V36" s="8" t="s">
        <v>691</v>
      </c>
      <c r="W36" s="8" t="s">
        <v>692</v>
      </c>
      <c r="X36" s="8" t="s">
        <v>693</v>
      </c>
      <c r="Y36" s="8" t="s">
        <v>694</v>
      </c>
      <c r="Z36" s="8"/>
    </row>
    <row r="37" spans="1:26" ht="31.25" customHeight="1">
      <c r="A37" s="13">
        <v>33</v>
      </c>
      <c r="B37" s="8" t="s">
        <v>64</v>
      </c>
      <c r="C37" s="8" t="s">
        <v>132</v>
      </c>
      <c r="D37" s="8" t="s">
        <v>247</v>
      </c>
      <c r="E37" s="8" t="s">
        <v>9</v>
      </c>
      <c r="F37" s="8" t="s">
        <v>248</v>
      </c>
      <c r="G37" s="8" t="s">
        <v>122</v>
      </c>
      <c r="H37" s="8" t="s">
        <v>218</v>
      </c>
      <c r="I37" s="8" t="s">
        <v>249</v>
      </c>
      <c r="J37" s="8"/>
      <c r="K37" s="8" t="s">
        <v>72</v>
      </c>
      <c r="L37" s="8" t="s">
        <v>84</v>
      </c>
      <c r="M37" s="8" t="s">
        <v>118</v>
      </c>
      <c r="N37" s="8" t="s">
        <v>112</v>
      </c>
      <c r="O37" s="8" t="s">
        <v>76</v>
      </c>
      <c r="P37" s="14">
        <v>46193</v>
      </c>
      <c r="Q37" s="8" t="s">
        <v>85</v>
      </c>
      <c r="R37" s="8" t="s">
        <v>250</v>
      </c>
      <c r="S37" s="8" t="s">
        <v>249</v>
      </c>
      <c r="T37" s="13"/>
      <c r="U37" s="8" t="s">
        <v>690</v>
      </c>
      <c r="V37" s="8" t="s">
        <v>691</v>
      </c>
      <c r="W37" s="8" t="s">
        <v>692</v>
      </c>
      <c r="X37" s="8" t="s">
        <v>693</v>
      </c>
      <c r="Y37" s="8" t="s">
        <v>694</v>
      </c>
      <c r="Z37" s="8"/>
    </row>
    <row r="38" spans="1:26" ht="31.25" customHeight="1">
      <c r="A38" s="13">
        <v>34</v>
      </c>
      <c r="B38" s="8" t="s">
        <v>64</v>
      </c>
      <c r="C38" s="8" t="s">
        <v>132</v>
      </c>
      <c r="D38" s="8" t="s">
        <v>251</v>
      </c>
      <c r="E38" s="8" t="s">
        <v>9</v>
      </c>
      <c r="F38" s="8" t="s">
        <v>252</v>
      </c>
      <c r="G38" s="8" t="s">
        <v>141</v>
      </c>
      <c r="H38" s="8" t="s">
        <v>136</v>
      </c>
      <c r="I38" s="8" t="s">
        <v>253</v>
      </c>
      <c r="J38" s="8"/>
      <c r="K38" s="8" t="s">
        <v>72</v>
      </c>
      <c r="L38" s="8" t="s">
        <v>84</v>
      </c>
      <c r="M38" s="8" t="s">
        <v>118</v>
      </c>
      <c r="N38" s="8" t="s">
        <v>75</v>
      </c>
      <c r="O38" s="8" t="s">
        <v>76</v>
      </c>
      <c r="P38" s="14">
        <v>46193</v>
      </c>
      <c r="Q38" s="8" t="s">
        <v>85</v>
      </c>
      <c r="R38" s="8" t="s">
        <v>254</v>
      </c>
      <c r="S38" s="8" t="s">
        <v>253</v>
      </c>
      <c r="T38" s="13"/>
      <c r="U38" s="8" t="s">
        <v>690</v>
      </c>
      <c r="V38" s="8" t="s">
        <v>691</v>
      </c>
      <c r="W38" s="8" t="s">
        <v>692</v>
      </c>
      <c r="X38" s="8" t="s">
        <v>693</v>
      </c>
      <c r="Y38" s="8" t="s">
        <v>694</v>
      </c>
      <c r="Z38" s="8"/>
    </row>
    <row r="39" spans="1:26" ht="31.25" customHeight="1">
      <c r="A39" s="13">
        <v>35</v>
      </c>
      <c r="B39" s="8" t="s">
        <v>64</v>
      </c>
      <c r="C39" s="8" t="s">
        <v>65</v>
      </c>
      <c r="D39" s="8" t="s">
        <v>255</v>
      </c>
      <c r="E39" s="8" t="s">
        <v>9</v>
      </c>
      <c r="F39" s="8" t="s">
        <v>256</v>
      </c>
      <c r="G39" s="8" t="s">
        <v>257</v>
      </c>
      <c r="H39" s="8" t="s">
        <v>258</v>
      </c>
      <c r="I39" s="8" t="s">
        <v>259</v>
      </c>
      <c r="J39" s="8"/>
      <c r="K39" s="8" t="s">
        <v>72</v>
      </c>
      <c r="L39" s="8" t="s">
        <v>84</v>
      </c>
      <c r="M39" s="8" t="s">
        <v>74</v>
      </c>
      <c r="N39" s="8" t="s">
        <v>75</v>
      </c>
      <c r="O39" s="8" t="s">
        <v>76</v>
      </c>
      <c r="P39" s="14">
        <v>46193</v>
      </c>
      <c r="Q39" s="8" t="s">
        <v>85</v>
      </c>
      <c r="R39" s="8" t="s">
        <v>260</v>
      </c>
      <c r="S39" s="8" t="s">
        <v>259</v>
      </c>
      <c r="T39" s="13"/>
      <c r="U39" s="8" t="s">
        <v>690</v>
      </c>
      <c r="V39" s="8" t="s">
        <v>691</v>
      </c>
      <c r="W39" s="8" t="s">
        <v>692</v>
      </c>
      <c r="X39" s="8" t="s">
        <v>693</v>
      </c>
      <c r="Y39" s="8" t="s">
        <v>694</v>
      </c>
      <c r="Z39" s="8"/>
    </row>
    <row r="40" spans="1:26" ht="31.25" customHeight="1">
      <c r="A40" s="13">
        <v>36</v>
      </c>
      <c r="B40" s="8" t="s">
        <v>64</v>
      </c>
      <c r="C40" s="8" t="s">
        <v>132</v>
      </c>
      <c r="D40" s="8" t="s">
        <v>261</v>
      </c>
      <c r="E40" s="8" t="s">
        <v>9</v>
      </c>
      <c r="F40" s="8" t="s">
        <v>262</v>
      </c>
      <c r="G40" s="8" t="s">
        <v>263</v>
      </c>
      <c r="H40" s="8" t="s">
        <v>264</v>
      </c>
      <c r="I40" s="8" t="s">
        <v>265</v>
      </c>
      <c r="J40" s="8"/>
      <c r="K40" s="8" t="s">
        <v>72</v>
      </c>
      <c r="L40" s="8" t="s">
        <v>84</v>
      </c>
      <c r="M40" s="8" t="s">
        <v>74</v>
      </c>
      <c r="N40" s="8" t="s">
        <v>112</v>
      </c>
      <c r="O40" s="8" t="s">
        <v>76</v>
      </c>
      <c r="P40" s="14">
        <v>46193</v>
      </c>
      <c r="Q40" s="8" t="s">
        <v>85</v>
      </c>
      <c r="R40" s="8" t="s">
        <v>266</v>
      </c>
      <c r="S40" s="8" t="s">
        <v>265</v>
      </c>
      <c r="T40" s="13"/>
      <c r="U40" s="8" t="s">
        <v>690</v>
      </c>
      <c r="V40" s="8" t="s">
        <v>691</v>
      </c>
      <c r="W40" s="8" t="s">
        <v>692</v>
      </c>
      <c r="X40" s="8" t="s">
        <v>693</v>
      </c>
      <c r="Y40" s="8" t="s">
        <v>694</v>
      </c>
      <c r="Z40" s="8"/>
    </row>
    <row r="41" spans="1:26" ht="31.25" customHeight="1">
      <c r="A41" s="13">
        <v>37</v>
      </c>
      <c r="B41" s="8" t="s">
        <v>64</v>
      </c>
      <c r="C41" s="8" t="s">
        <v>132</v>
      </c>
      <c r="D41" s="8" t="s">
        <v>267</v>
      </c>
      <c r="E41" s="8" t="s">
        <v>15</v>
      </c>
      <c r="F41" s="8" t="s">
        <v>268</v>
      </c>
      <c r="G41" s="8" t="s">
        <v>141</v>
      </c>
      <c r="H41" s="8" t="s">
        <v>269</v>
      </c>
      <c r="I41" s="8" t="s">
        <v>270</v>
      </c>
      <c r="J41" s="8"/>
      <c r="K41" s="8" t="s">
        <v>72</v>
      </c>
      <c r="L41" s="8" t="s">
        <v>84</v>
      </c>
      <c r="M41" s="8" t="s">
        <v>74</v>
      </c>
      <c r="N41" s="8" t="s">
        <v>112</v>
      </c>
      <c r="O41" s="8" t="s">
        <v>76</v>
      </c>
      <c r="P41" s="14">
        <v>46193</v>
      </c>
      <c r="Q41" s="8" t="s">
        <v>85</v>
      </c>
      <c r="R41" s="8" t="s">
        <v>271</v>
      </c>
      <c r="S41" s="8" t="s">
        <v>270</v>
      </c>
      <c r="T41" s="13"/>
      <c r="U41" s="8" t="s">
        <v>690</v>
      </c>
      <c r="V41" s="8" t="s">
        <v>691</v>
      </c>
      <c r="W41" s="8" t="s">
        <v>692</v>
      </c>
      <c r="X41" s="8" t="s">
        <v>693</v>
      </c>
      <c r="Y41" s="8" t="s">
        <v>694</v>
      </c>
      <c r="Z41" s="8"/>
    </row>
    <row r="42" spans="1:26" ht="31.25" customHeight="1">
      <c r="A42" s="13">
        <v>38</v>
      </c>
      <c r="B42" s="8" t="s">
        <v>64</v>
      </c>
      <c r="C42" s="8" t="s">
        <v>132</v>
      </c>
      <c r="D42" s="8" t="s">
        <v>272</v>
      </c>
      <c r="E42" s="8" t="s">
        <v>15</v>
      </c>
      <c r="F42" s="8" t="s">
        <v>273</v>
      </c>
      <c r="G42" s="8" t="s">
        <v>263</v>
      </c>
      <c r="H42" s="8" t="s">
        <v>274</v>
      </c>
      <c r="I42" s="8" t="s">
        <v>275</v>
      </c>
      <c r="J42" s="8"/>
      <c r="K42" s="8" t="s">
        <v>72</v>
      </c>
      <c r="L42" s="8" t="s">
        <v>84</v>
      </c>
      <c r="M42" s="8" t="s">
        <v>74</v>
      </c>
      <c r="N42" s="8" t="s">
        <v>75</v>
      </c>
      <c r="O42" s="8" t="s">
        <v>76</v>
      </c>
      <c r="P42" s="14">
        <v>46193</v>
      </c>
      <c r="Q42" s="8" t="s">
        <v>85</v>
      </c>
      <c r="R42" s="8" t="s">
        <v>276</v>
      </c>
      <c r="S42" s="8" t="s">
        <v>275</v>
      </c>
      <c r="T42" s="13"/>
      <c r="U42" s="8" t="s">
        <v>690</v>
      </c>
      <c r="V42" s="8" t="s">
        <v>691</v>
      </c>
      <c r="W42" s="8" t="s">
        <v>692</v>
      </c>
      <c r="X42" s="8" t="s">
        <v>693</v>
      </c>
      <c r="Y42" s="8" t="s">
        <v>694</v>
      </c>
      <c r="Z42" s="8"/>
    </row>
    <row r="43" spans="1:26" ht="31.25" customHeight="1">
      <c r="A43" s="13">
        <v>39</v>
      </c>
      <c r="B43" s="8" t="s">
        <v>64</v>
      </c>
      <c r="C43" s="8" t="s">
        <v>132</v>
      </c>
      <c r="D43" s="8" t="s">
        <v>277</v>
      </c>
      <c r="E43" s="8" t="s">
        <v>15</v>
      </c>
      <c r="F43" s="8" t="s">
        <v>278</v>
      </c>
      <c r="G43" s="8" t="s">
        <v>263</v>
      </c>
      <c r="H43" s="8" t="s">
        <v>279</v>
      </c>
      <c r="I43" s="8" t="s">
        <v>280</v>
      </c>
      <c r="J43" s="8"/>
      <c r="K43" s="8" t="s">
        <v>72</v>
      </c>
      <c r="L43" s="8" t="s">
        <v>84</v>
      </c>
      <c r="M43" s="8" t="s">
        <v>74</v>
      </c>
      <c r="N43" s="8" t="s">
        <v>112</v>
      </c>
      <c r="O43" s="8" t="s">
        <v>76</v>
      </c>
      <c r="P43" s="14">
        <v>46193</v>
      </c>
      <c r="Q43" s="8" t="s">
        <v>85</v>
      </c>
      <c r="R43" s="8" t="s">
        <v>281</v>
      </c>
      <c r="S43" s="8" t="s">
        <v>280</v>
      </c>
      <c r="T43" s="13"/>
      <c r="U43" s="8" t="s">
        <v>690</v>
      </c>
      <c r="V43" s="8" t="s">
        <v>691</v>
      </c>
      <c r="W43" s="8" t="s">
        <v>692</v>
      </c>
      <c r="X43" s="8" t="s">
        <v>693</v>
      </c>
      <c r="Y43" s="8" t="s">
        <v>694</v>
      </c>
      <c r="Z43" s="8"/>
    </row>
    <row r="44" spans="1:26" ht="31.25" customHeight="1">
      <c r="A44" s="13">
        <v>40</v>
      </c>
      <c r="B44" s="8" t="s">
        <v>64</v>
      </c>
      <c r="C44" s="8" t="s">
        <v>132</v>
      </c>
      <c r="D44" s="8" t="s">
        <v>282</v>
      </c>
      <c r="E44" s="8" t="s">
        <v>9</v>
      </c>
      <c r="F44" s="8" t="s">
        <v>283</v>
      </c>
      <c r="G44" s="8" t="s">
        <v>141</v>
      </c>
      <c r="H44" s="8" t="s">
        <v>284</v>
      </c>
      <c r="I44" s="8" t="s">
        <v>285</v>
      </c>
      <c r="J44" s="8"/>
      <c r="K44" s="8" t="s">
        <v>72</v>
      </c>
      <c r="L44" s="8" t="s">
        <v>84</v>
      </c>
      <c r="M44" s="8" t="s">
        <v>74</v>
      </c>
      <c r="N44" s="8" t="s">
        <v>112</v>
      </c>
      <c r="O44" s="8" t="s">
        <v>76</v>
      </c>
      <c r="P44" s="14">
        <v>46193</v>
      </c>
      <c r="Q44" s="8" t="s">
        <v>85</v>
      </c>
      <c r="R44" s="8" t="s">
        <v>286</v>
      </c>
      <c r="S44" s="8" t="s">
        <v>285</v>
      </c>
      <c r="T44" s="13"/>
      <c r="U44" s="8" t="s">
        <v>690</v>
      </c>
      <c r="V44" s="8" t="s">
        <v>691</v>
      </c>
      <c r="W44" s="8" t="s">
        <v>692</v>
      </c>
      <c r="X44" s="8" t="s">
        <v>693</v>
      </c>
      <c r="Y44" s="8" t="s">
        <v>694</v>
      </c>
      <c r="Z44" s="8"/>
    </row>
    <row r="45" spans="1:26" ht="31.25" customHeight="1">
      <c r="A45" s="13">
        <v>41</v>
      </c>
      <c r="B45" s="8" t="s">
        <v>64</v>
      </c>
      <c r="C45" s="8" t="s">
        <v>132</v>
      </c>
      <c r="D45" s="8" t="s">
        <v>287</v>
      </c>
      <c r="E45" s="8" t="s">
        <v>9</v>
      </c>
      <c r="F45" s="8" t="s">
        <v>288</v>
      </c>
      <c r="G45" s="8" t="s">
        <v>263</v>
      </c>
      <c r="H45" s="8" t="s">
        <v>289</v>
      </c>
      <c r="I45" s="8" t="s">
        <v>290</v>
      </c>
      <c r="J45" s="8"/>
      <c r="K45" s="8" t="s">
        <v>72</v>
      </c>
      <c r="L45" s="8" t="s">
        <v>84</v>
      </c>
      <c r="M45" s="8" t="s">
        <v>74</v>
      </c>
      <c r="N45" s="8" t="s">
        <v>112</v>
      </c>
      <c r="O45" s="8" t="s">
        <v>76</v>
      </c>
      <c r="P45" s="14">
        <v>46193</v>
      </c>
      <c r="Q45" s="8" t="s">
        <v>85</v>
      </c>
      <c r="R45" s="8" t="s">
        <v>291</v>
      </c>
      <c r="S45" s="8" t="s">
        <v>290</v>
      </c>
      <c r="T45" s="13"/>
      <c r="U45" s="8" t="s">
        <v>690</v>
      </c>
      <c r="V45" s="8" t="s">
        <v>691</v>
      </c>
      <c r="W45" s="8" t="s">
        <v>692</v>
      </c>
      <c r="X45" s="8" t="s">
        <v>693</v>
      </c>
      <c r="Y45" s="8" t="s">
        <v>694</v>
      </c>
      <c r="Z45" s="8"/>
    </row>
    <row r="46" spans="1:26" ht="31.25" customHeight="1">
      <c r="A46" s="13">
        <v>42</v>
      </c>
      <c r="B46" s="8" t="s">
        <v>64</v>
      </c>
      <c r="C46" s="8" t="s">
        <v>132</v>
      </c>
      <c r="D46" s="8" t="s">
        <v>292</v>
      </c>
      <c r="E46" s="8" t="s">
        <v>9</v>
      </c>
      <c r="F46" s="8" t="s">
        <v>293</v>
      </c>
      <c r="G46" s="8" t="s">
        <v>294</v>
      </c>
      <c r="H46" s="8" t="s">
        <v>295</v>
      </c>
      <c r="I46" s="8" t="s">
        <v>296</v>
      </c>
      <c r="J46" s="8"/>
      <c r="K46" s="8" t="s">
        <v>72</v>
      </c>
      <c r="L46" s="8" t="s">
        <v>84</v>
      </c>
      <c r="M46" s="8" t="s">
        <v>74</v>
      </c>
      <c r="N46" s="8" t="s">
        <v>112</v>
      </c>
      <c r="O46" s="8" t="s">
        <v>76</v>
      </c>
      <c r="P46" s="14">
        <v>46193</v>
      </c>
      <c r="Q46" s="8" t="s">
        <v>85</v>
      </c>
      <c r="R46" s="8" t="s">
        <v>297</v>
      </c>
      <c r="S46" s="8" t="s">
        <v>296</v>
      </c>
      <c r="T46" s="13"/>
      <c r="U46" s="8" t="s">
        <v>690</v>
      </c>
      <c r="V46" s="8" t="s">
        <v>691</v>
      </c>
      <c r="W46" s="8" t="s">
        <v>692</v>
      </c>
      <c r="X46" s="8" t="s">
        <v>693</v>
      </c>
      <c r="Y46" s="8" t="s">
        <v>694</v>
      </c>
      <c r="Z46" s="8"/>
    </row>
    <row r="47" spans="1:26" ht="31.25" customHeight="1">
      <c r="A47" s="13">
        <v>43</v>
      </c>
      <c r="B47" s="8" t="s">
        <v>64</v>
      </c>
      <c r="C47" s="8" t="s">
        <v>132</v>
      </c>
      <c r="D47" s="8" t="s">
        <v>298</v>
      </c>
      <c r="E47" s="8" t="s">
        <v>15</v>
      </c>
      <c r="F47" s="8" t="s">
        <v>299</v>
      </c>
      <c r="G47" s="8" t="s">
        <v>294</v>
      </c>
      <c r="H47" s="8" t="s">
        <v>300</v>
      </c>
      <c r="I47" s="8" t="s">
        <v>301</v>
      </c>
      <c r="J47" s="8"/>
      <c r="K47" s="8" t="s">
        <v>72</v>
      </c>
      <c r="L47" s="8" t="s">
        <v>84</v>
      </c>
      <c r="M47" s="8" t="s">
        <v>74</v>
      </c>
      <c r="N47" s="8" t="s">
        <v>112</v>
      </c>
      <c r="O47" s="8" t="s">
        <v>76</v>
      </c>
      <c r="P47" s="14">
        <v>46193</v>
      </c>
      <c r="Q47" s="8" t="s">
        <v>85</v>
      </c>
      <c r="R47" s="8" t="s">
        <v>302</v>
      </c>
      <c r="S47" s="8" t="s">
        <v>301</v>
      </c>
      <c r="T47" s="13"/>
      <c r="U47" s="8" t="s">
        <v>690</v>
      </c>
      <c r="V47" s="8" t="s">
        <v>691</v>
      </c>
      <c r="W47" s="8" t="s">
        <v>692</v>
      </c>
      <c r="X47" s="8" t="s">
        <v>693</v>
      </c>
      <c r="Y47" s="8" t="s">
        <v>694</v>
      </c>
      <c r="Z47" s="8"/>
    </row>
    <row r="48" spans="1:26" ht="31.25" customHeight="1">
      <c r="A48" s="13">
        <v>44</v>
      </c>
      <c r="B48" s="8" t="s">
        <v>64</v>
      </c>
      <c r="C48" s="8" t="s">
        <v>132</v>
      </c>
      <c r="D48" s="8" t="s">
        <v>303</v>
      </c>
      <c r="E48" s="8" t="s">
        <v>9</v>
      </c>
      <c r="F48" s="8" t="s">
        <v>304</v>
      </c>
      <c r="G48" s="8" t="s">
        <v>68</v>
      </c>
      <c r="H48" s="8" t="s">
        <v>305</v>
      </c>
      <c r="I48" s="8" t="s">
        <v>306</v>
      </c>
      <c r="J48" s="8"/>
      <c r="K48" s="8" t="s">
        <v>72</v>
      </c>
      <c r="L48" s="8" t="s">
        <v>84</v>
      </c>
      <c r="M48" s="8" t="s">
        <v>74</v>
      </c>
      <c r="N48" s="8" t="s">
        <v>112</v>
      </c>
      <c r="O48" s="8" t="s">
        <v>76</v>
      </c>
      <c r="P48" s="14">
        <v>46193</v>
      </c>
      <c r="Q48" s="8" t="s">
        <v>85</v>
      </c>
      <c r="R48" s="8" t="s">
        <v>307</v>
      </c>
      <c r="S48" s="8" t="s">
        <v>306</v>
      </c>
      <c r="T48" s="13"/>
      <c r="U48" s="8" t="s">
        <v>690</v>
      </c>
      <c r="V48" s="8" t="s">
        <v>691</v>
      </c>
      <c r="W48" s="8" t="s">
        <v>692</v>
      </c>
      <c r="X48" s="8" t="s">
        <v>693</v>
      </c>
      <c r="Y48" s="8" t="s">
        <v>694</v>
      </c>
      <c r="Z48" s="8"/>
    </row>
    <row r="49" spans="1:26" ht="31.25" customHeight="1">
      <c r="A49" s="13">
        <v>45</v>
      </c>
      <c r="B49" s="8" t="s">
        <v>64</v>
      </c>
      <c r="C49" s="8" t="s">
        <v>184</v>
      </c>
      <c r="D49" s="8" t="s">
        <v>308</v>
      </c>
      <c r="E49" s="8" t="s">
        <v>20</v>
      </c>
      <c r="F49" s="8" t="s">
        <v>309</v>
      </c>
      <c r="G49" s="8" t="s">
        <v>257</v>
      </c>
      <c r="H49" s="8" t="s">
        <v>310</v>
      </c>
      <c r="I49" s="8" t="s">
        <v>311</v>
      </c>
      <c r="J49" s="8"/>
      <c r="K49" s="8" t="s">
        <v>72</v>
      </c>
      <c r="L49" s="8" t="s">
        <v>84</v>
      </c>
      <c r="M49" s="8" t="s">
        <v>74</v>
      </c>
      <c r="N49" s="8" t="s">
        <v>112</v>
      </c>
      <c r="O49" s="8" t="s">
        <v>76</v>
      </c>
      <c r="P49" s="14">
        <v>46193</v>
      </c>
      <c r="Q49" s="8" t="s">
        <v>312</v>
      </c>
      <c r="R49" s="8" t="s">
        <v>313</v>
      </c>
      <c r="S49" s="8" t="s">
        <v>311</v>
      </c>
      <c r="T49" s="13"/>
      <c r="U49" s="8" t="s">
        <v>690</v>
      </c>
      <c r="V49" s="8" t="s">
        <v>691</v>
      </c>
      <c r="W49" s="8" t="s">
        <v>692</v>
      </c>
      <c r="X49" s="8" t="s">
        <v>693</v>
      </c>
      <c r="Y49" s="8" t="s">
        <v>694</v>
      </c>
      <c r="Z49" s="8"/>
    </row>
    <row r="50" spans="1:26" ht="31.25" customHeight="1">
      <c r="A50" s="13">
        <v>46</v>
      </c>
      <c r="B50" s="8" t="s">
        <v>64</v>
      </c>
      <c r="C50" s="8" t="s">
        <v>65</v>
      </c>
      <c r="D50" s="8" t="s">
        <v>314</v>
      </c>
      <c r="E50" s="8" t="s">
        <v>11</v>
      </c>
      <c r="F50" s="8" t="s">
        <v>315</v>
      </c>
      <c r="G50" s="8" t="s">
        <v>316</v>
      </c>
      <c r="H50" s="8" t="s">
        <v>317</v>
      </c>
      <c r="I50" s="8" t="s">
        <v>318</v>
      </c>
      <c r="J50" s="8" t="s">
        <v>319</v>
      </c>
      <c r="K50" s="8" t="s">
        <v>72</v>
      </c>
      <c r="L50" s="8" t="s">
        <v>73</v>
      </c>
      <c r="M50" s="8" t="s">
        <v>74</v>
      </c>
      <c r="N50" s="8" t="s">
        <v>112</v>
      </c>
      <c r="O50" s="8" t="s">
        <v>76</v>
      </c>
      <c r="P50" s="14">
        <v>46193</v>
      </c>
      <c r="Q50" s="8" t="s">
        <v>77</v>
      </c>
      <c r="R50" s="8" t="s">
        <v>320</v>
      </c>
      <c r="S50" s="8" t="s">
        <v>319</v>
      </c>
      <c r="T50" s="13"/>
      <c r="U50" s="8" t="s">
        <v>690</v>
      </c>
      <c r="V50" s="8" t="s">
        <v>691</v>
      </c>
      <c r="W50" s="8" t="s">
        <v>692</v>
      </c>
      <c r="X50" s="8" t="s">
        <v>693</v>
      </c>
      <c r="Y50" s="8" t="s">
        <v>694</v>
      </c>
      <c r="Z50" s="8"/>
    </row>
    <row r="51" spans="1:26" ht="31.25" customHeight="1">
      <c r="A51" s="13">
        <v>47</v>
      </c>
      <c r="B51" s="8" t="s">
        <v>64</v>
      </c>
      <c r="C51" s="8" t="s">
        <v>65</v>
      </c>
      <c r="D51" s="8" t="s">
        <v>321</v>
      </c>
      <c r="E51" s="8" t="s">
        <v>11</v>
      </c>
      <c r="F51" s="8" t="s">
        <v>322</v>
      </c>
      <c r="G51" s="8" t="s">
        <v>323</v>
      </c>
      <c r="H51" s="8" t="s">
        <v>324</v>
      </c>
      <c r="I51" s="8" t="s">
        <v>325</v>
      </c>
      <c r="J51" s="8" t="s">
        <v>326</v>
      </c>
      <c r="K51" s="8" t="s">
        <v>72</v>
      </c>
      <c r="L51" s="8" t="s">
        <v>73</v>
      </c>
      <c r="M51" s="8" t="s">
        <v>74</v>
      </c>
      <c r="N51" s="8" t="s">
        <v>112</v>
      </c>
      <c r="O51" s="8" t="s">
        <v>76</v>
      </c>
      <c r="P51" s="14">
        <v>46193</v>
      </c>
      <c r="Q51" s="8" t="s">
        <v>77</v>
      </c>
      <c r="R51" s="8" t="s">
        <v>327</v>
      </c>
      <c r="S51" s="8" t="s">
        <v>326</v>
      </c>
      <c r="T51" s="13"/>
      <c r="U51" s="8" t="s">
        <v>690</v>
      </c>
      <c r="V51" s="8" t="s">
        <v>691</v>
      </c>
      <c r="W51" s="8" t="s">
        <v>692</v>
      </c>
      <c r="X51" s="8" t="s">
        <v>693</v>
      </c>
      <c r="Y51" s="8" t="s">
        <v>694</v>
      </c>
      <c r="Z51" s="8"/>
    </row>
    <row r="52" spans="1:26" ht="31.25" customHeight="1">
      <c r="A52" s="13">
        <v>48</v>
      </c>
      <c r="B52" s="8" t="s">
        <v>64</v>
      </c>
      <c r="C52" s="8" t="s">
        <v>65</v>
      </c>
      <c r="D52" s="8" t="s">
        <v>328</v>
      </c>
      <c r="E52" s="8" t="s">
        <v>11</v>
      </c>
      <c r="F52" s="8" t="s">
        <v>329</v>
      </c>
      <c r="G52" s="8" t="s">
        <v>330</v>
      </c>
      <c r="H52" s="8" t="s">
        <v>331</v>
      </c>
      <c r="I52" s="8" t="s">
        <v>332</v>
      </c>
      <c r="J52" s="8"/>
      <c r="K52" s="8" t="s">
        <v>72</v>
      </c>
      <c r="L52" s="8" t="s">
        <v>84</v>
      </c>
      <c r="M52" s="8" t="s">
        <v>74</v>
      </c>
      <c r="N52" s="8" t="s">
        <v>112</v>
      </c>
      <c r="O52" s="8" t="s">
        <v>76</v>
      </c>
      <c r="P52" s="14">
        <v>46193</v>
      </c>
      <c r="Q52" s="8" t="s">
        <v>85</v>
      </c>
      <c r="R52" s="8" t="s">
        <v>333</v>
      </c>
      <c r="S52" s="8" t="s">
        <v>332</v>
      </c>
      <c r="T52" s="13"/>
      <c r="U52" s="8" t="s">
        <v>690</v>
      </c>
      <c r="V52" s="8" t="s">
        <v>691</v>
      </c>
      <c r="W52" s="8" t="s">
        <v>692</v>
      </c>
      <c r="X52" s="8" t="s">
        <v>693</v>
      </c>
      <c r="Y52" s="8" t="s">
        <v>694</v>
      </c>
      <c r="Z52" s="8"/>
    </row>
    <row r="53" spans="1:26" ht="31.25" customHeight="1">
      <c r="A53" s="13">
        <v>49</v>
      </c>
      <c r="B53" s="8" t="s">
        <v>64</v>
      </c>
      <c r="C53" s="8" t="s">
        <v>65</v>
      </c>
      <c r="D53" s="8" t="s">
        <v>334</v>
      </c>
      <c r="E53" s="8" t="s">
        <v>11</v>
      </c>
      <c r="F53" s="8" t="s">
        <v>335</v>
      </c>
      <c r="G53" s="8" t="s">
        <v>336</v>
      </c>
      <c r="H53" s="8" t="s">
        <v>337</v>
      </c>
      <c r="I53" s="8" t="s">
        <v>338</v>
      </c>
      <c r="J53" s="8" t="s">
        <v>339</v>
      </c>
      <c r="K53" s="8" t="s">
        <v>72</v>
      </c>
      <c r="L53" s="8" t="s">
        <v>73</v>
      </c>
      <c r="M53" s="8" t="s">
        <v>74</v>
      </c>
      <c r="N53" s="8" t="s">
        <v>112</v>
      </c>
      <c r="O53" s="8" t="s">
        <v>76</v>
      </c>
      <c r="P53" s="14">
        <v>46193</v>
      </c>
      <c r="Q53" s="8" t="s">
        <v>77</v>
      </c>
      <c r="R53" s="8" t="s">
        <v>340</v>
      </c>
      <c r="S53" s="8" t="s">
        <v>339</v>
      </c>
      <c r="T53" s="13"/>
      <c r="U53" s="8" t="s">
        <v>690</v>
      </c>
      <c r="V53" s="8" t="s">
        <v>691</v>
      </c>
      <c r="W53" s="8" t="s">
        <v>692</v>
      </c>
      <c r="X53" s="8" t="s">
        <v>693</v>
      </c>
      <c r="Y53" s="8" t="s">
        <v>694</v>
      </c>
      <c r="Z53" s="8"/>
    </row>
    <row r="54" spans="1:26" ht="31.25" customHeight="1">
      <c r="A54" s="13">
        <v>50</v>
      </c>
      <c r="B54" s="8" t="s">
        <v>64</v>
      </c>
      <c r="C54" s="8" t="s">
        <v>65</v>
      </c>
      <c r="D54" s="8" t="s">
        <v>341</v>
      </c>
      <c r="E54" s="8" t="s">
        <v>11</v>
      </c>
      <c r="F54" s="8" t="s">
        <v>342</v>
      </c>
      <c r="G54" s="8" t="s">
        <v>263</v>
      </c>
      <c r="H54" s="8" t="s">
        <v>343</v>
      </c>
      <c r="I54" s="8" t="s">
        <v>344</v>
      </c>
      <c r="J54" s="8"/>
      <c r="K54" s="8" t="s">
        <v>72</v>
      </c>
      <c r="L54" s="8" t="s">
        <v>84</v>
      </c>
      <c r="M54" s="8" t="s">
        <v>74</v>
      </c>
      <c r="N54" s="8" t="s">
        <v>112</v>
      </c>
      <c r="O54" s="8" t="s">
        <v>76</v>
      </c>
      <c r="P54" s="14">
        <v>46193</v>
      </c>
      <c r="Q54" s="8" t="s">
        <v>85</v>
      </c>
      <c r="R54" s="8" t="s">
        <v>345</v>
      </c>
      <c r="S54" s="8" t="s">
        <v>344</v>
      </c>
      <c r="T54" s="13"/>
      <c r="U54" s="8" t="s">
        <v>690</v>
      </c>
      <c r="V54" s="8" t="s">
        <v>691</v>
      </c>
      <c r="W54" s="8" t="s">
        <v>692</v>
      </c>
      <c r="X54" s="8" t="s">
        <v>693</v>
      </c>
      <c r="Y54" s="8" t="s">
        <v>694</v>
      </c>
      <c r="Z54" s="8"/>
    </row>
    <row r="55" spans="1:26" ht="31.25" customHeight="1">
      <c r="A55" s="13">
        <v>51</v>
      </c>
      <c r="B55" s="8" t="s">
        <v>64</v>
      </c>
      <c r="C55" s="8" t="s">
        <v>65</v>
      </c>
      <c r="D55" s="8" t="s">
        <v>346</v>
      </c>
      <c r="E55" s="8" t="s">
        <v>11</v>
      </c>
      <c r="F55" s="8" t="s">
        <v>347</v>
      </c>
      <c r="G55" s="8" t="s">
        <v>263</v>
      </c>
      <c r="H55" s="8" t="s">
        <v>348</v>
      </c>
      <c r="I55" s="8" t="s">
        <v>349</v>
      </c>
      <c r="J55" s="8" t="s">
        <v>350</v>
      </c>
      <c r="K55" s="8" t="s">
        <v>72</v>
      </c>
      <c r="L55" s="8" t="s">
        <v>73</v>
      </c>
      <c r="M55" s="8" t="s">
        <v>74</v>
      </c>
      <c r="N55" s="8" t="s">
        <v>112</v>
      </c>
      <c r="O55" s="8" t="s">
        <v>76</v>
      </c>
      <c r="P55" s="14">
        <v>46193</v>
      </c>
      <c r="Q55" s="8" t="s">
        <v>77</v>
      </c>
      <c r="R55" s="8" t="s">
        <v>351</v>
      </c>
      <c r="S55" s="8" t="s">
        <v>350</v>
      </c>
      <c r="T55" s="13"/>
      <c r="U55" s="8" t="s">
        <v>690</v>
      </c>
      <c r="V55" s="8" t="s">
        <v>691</v>
      </c>
      <c r="W55" s="8" t="s">
        <v>692</v>
      </c>
      <c r="X55" s="8" t="s">
        <v>693</v>
      </c>
      <c r="Y55" s="8" t="s">
        <v>694</v>
      </c>
      <c r="Z55" s="8"/>
    </row>
    <row r="56" spans="1:26" ht="31.25" customHeight="1">
      <c r="A56" s="13">
        <v>52</v>
      </c>
      <c r="B56" s="8" t="s">
        <v>64</v>
      </c>
      <c r="C56" s="8" t="s">
        <v>132</v>
      </c>
      <c r="D56" s="8" t="s">
        <v>352</v>
      </c>
      <c r="E56" s="8" t="s">
        <v>11</v>
      </c>
      <c r="F56" s="8" t="s">
        <v>353</v>
      </c>
      <c r="G56" s="8" t="s">
        <v>263</v>
      </c>
      <c r="H56" s="8" t="s">
        <v>354</v>
      </c>
      <c r="I56" s="8" t="s">
        <v>355</v>
      </c>
      <c r="J56" s="8" t="s">
        <v>356</v>
      </c>
      <c r="K56" s="8" t="s">
        <v>72</v>
      </c>
      <c r="L56" s="8" t="s">
        <v>73</v>
      </c>
      <c r="M56" s="8" t="s">
        <v>74</v>
      </c>
      <c r="N56" s="8" t="s">
        <v>112</v>
      </c>
      <c r="O56" s="8" t="s">
        <v>76</v>
      </c>
      <c r="P56" s="14">
        <v>46193</v>
      </c>
      <c r="Q56" s="8" t="s">
        <v>77</v>
      </c>
      <c r="R56" s="8" t="s">
        <v>357</v>
      </c>
      <c r="S56" s="8" t="s">
        <v>356</v>
      </c>
      <c r="T56" s="13"/>
      <c r="U56" s="8" t="s">
        <v>690</v>
      </c>
      <c r="V56" s="8" t="s">
        <v>691</v>
      </c>
      <c r="W56" s="8" t="s">
        <v>692</v>
      </c>
      <c r="X56" s="8" t="s">
        <v>693</v>
      </c>
      <c r="Y56" s="8" t="s">
        <v>694</v>
      </c>
      <c r="Z56" s="8"/>
    </row>
    <row r="57" spans="1:26" ht="31.25" customHeight="1">
      <c r="A57" s="13">
        <v>53</v>
      </c>
      <c r="B57" s="8" t="s">
        <v>64</v>
      </c>
      <c r="C57" s="8" t="s">
        <v>132</v>
      </c>
      <c r="D57" s="8" t="s">
        <v>358</v>
      </c>
      <c r="E57" s="8" t="s">
        <v>11</v>
      </c>
      <c r="F57" s="8" t="s">
        <v>359</v>
      </c>
      <c r="G57" s="8" t="s">
        <v>263</v>
      </c>
      <c r="H57" s="8" t="s">
        <v>360</v>
      </c>
      <c r="I57" s="8" t="s">
        <v>361</v>
      </c>
      <c r="J57" s="8" t="s">
        <v>362</v>
      </c>
      <c r="K57" s="8" t="s">
        <v>72</v>
      </c>
      <c r="L57" s="8" t="s">
        <v>73</v>
      </c>
      <c r="M57" s="8" t="s">
        <v>74</v>
      </c>
      <c r="N57" s="8" t="s">
        <v>112</v>
      </c>
      <c r="O57" s="8" t="s">
        <v>76</v>
      </c>
      <c r="P57" s="14">
        <v>46193</v>
      </c>
      <c r="Q57" s="8" t="s">
        <v>77</v>
      </c>
      <c r="R57" s="8" t="s">
        <v>363</v>
      </c>
      <c r="S57" s="8" t="s">
        <v>362</v>
      </c>
      <c r="T57" s="13"/>
      <c r="U57" s="8" t="s">
        <v>690</v>
      </c>
      <c r="V57" s="8" t="s">
        <v>691</v>
      </c>
      <c r="W57" s="8" t="s">
        <v>692</v>
      </c>
      <c r="X57" s="8" t="s">
        <v>693</v>
      </c>
      <c r="Y57" s="8" t="s">
        <v>694</v>
      </c>
      <c r="Z57" s="8"/>
    </row>
    <row r="58" spans="1:26" ht="31.25" customHeight="1">
      <c r="A58" s="13">
        <v>54</v>
      </c>
      <c r="B58" s="8" t="s">
        <v>64</v>
      </c>
      <c r="C58" s="8" t="s">
        <v>132</v>
      </c>
      <c r="D58" s="8" t="s">
        <v>364</v>
      </c>
      <c r="E58" s="8" t="s">
        <v>11</v>
      </c>
      <c r="F58" s="8" t="s">
        <v>365</v>
      </c>
      <c r="G58" s="8" t="s">
        <v>263</v>
      </c>
      <c r="H58" s="8" t="s">
        <v>366</v>
      </c>
      <c r="I58" s="8" t="s">
        <v>367</v>
      </c>
      <c r="J58" s="8" t="s">
        <v>368</v>
      </c>
      <c r="K58" s="8" t="s">
        <v>72</v>
      </c>
      <c r="L58" s="8" t="s">
        <v>73</v>
      </c>
      <c r="M58" s="8" t="s">
        <v>74</v>
      </c>
      <c r="N58" s="8" t="s">
        <v>112</v>
      </c>
      <c r="O58" s="8" t="s">
        <v>76</v>
      </c>
      <c r="P58" s="14">
        <v>46193</v>
      </c>
      <c r="Q58" s="8" t="s">
        <v>77</v>
      </c>
      <c r="R58" s="8" t="s">
        <v>369</v>
      </c>
      <c r="S58" s="8" t="s">
        <v>368</v>
      </c>
      <c r="T58" s="13"/>
      <c r="U58" s="8" t="s">
        <v>690</v>
      </c>
      <c r="V58" s="8" t="s">
        <v>691</v>
      </c>
      <c r="W58" s="8" t="s">
        <v>692</v>
      </c>
      <c r="X58" s="8" t="s">
        <v>693</v>
      </c>
      <c r="Y58" s="8" t="s">
        <v>694</v>
      </c>
      <c r="Z58" s="8"/>
    </row>
    <row r="59" spans="1:26" ht="31.25" customHeight="1">
      <c r="A59" s="13">
        <v>55</v>
      </c>
      <c r="B59" s="8" t="s">
        <v>64</v>
      </c>
      <c r="C59" s="8" t="s">
        <v>132</v>
      </c>
      <c r="D59" s="8" t="s">
        <v>370</v>
      </c>
      <c r="E59" s="8" t="s">
        <v>11</v>
      </c>
      <c r="F59" s="8" t="s">
        <v>371</v>
      </c>
      <c r="G59" s="8" t="s">
        <v>263</v>
      </c>
      <c r="H59" s="8" t="s">
        <v>372</v>
      </c>
      <c r="I59" s="8" t="s">
        <v>373</v>
      </c>
      <c r="J59" s="8" t="s">
        <v>374</v>
      </c>
      <c r="K59" s="8" t="s">
        <v>72</v>
      </c>
      <c r="L59" s="8" t="s">
        <v>73</v>
      </c>
      <c r="M59" s="8" t="s">
        <v>74</v>
      </c>
      <c r="N59" s="8" t="s">
        <v>112</v>
      </c>
      <c r="O59" s="8" t="s">
        <v>76</v>
      </c>
      <c r="P59" s="14">
        <v>46193</v>
      </c>
      <c r="Q59" s="8" t="s">
        <v>77</v>
      </c>
      <c r="R59" s="8" t="s">
        <v>375</v>
      </c>
      <c r="S59" s="8" t="s">
        <v>374</v>
      </c>
      <c r="T59" s="13"/>
      <c r="U59" s="8" t="s">
        <v>690</v>
      </c>
      <c r="V59" s="8" t="s">
        <v>691</v>
      </c>
      <c r="W59" s="8" t="s">
        <v>692</v>
      </c>
      <c r="X59" s="8" t="s">
        <v>693</v>
      </c>
      <c r="Y59" s="8" t="s">
        <v>694</v>
      </c>
      <c r="Z59" s="8"/>
    </row>
    <row r="60" spans="1:26" ht="31.25" customHeight="1">
      <c r="A60" s="13">
        <v>56</v>
      </c>
      <c r="B60" s="8" t="s">
        <v>64</v>
      </c>
      <c r="C60" s="8" t="s">
        <v>132</v>
      </c>
      <c r="D60" s="8" t="s">
        <v>376</v>
      </c>
      <c r="E60" s="8" t="s">
        <v>11</v>
      </c>
      <c r="F60" s="8" t="s">
        <v>377</v>
      </c>
      <c r="G60" s="8" t="s">
        <v>263</v>
      </c>
      <c r="H60" s="8" t="s">
        <v>378</v>
      </c>
      <c r="I60" s="8" t="s">
        <v>379</v>
      </c>
      <c r="J60" s="8" t="s">
        <v>380</v>
      </c>
      <c r="K60" s="8" t="s">
        <v>72</v>
      </c>
      <c r="L60" s="8" t="s">
        <v>73</v>
      </c>
      <c r="M60" s="8" t="s">
        <v>74</v>
      </c>
      <c r="N60" s="8" t="s">
        <v>112</v>
      </c>
      <c r="O60" s="8" t="s">
        <v>76</v>
      </c>
      <c r="P60" s="14">
        <v>46193</v>
      </c>
      <c r="Q60" s="8" t="s">
        <v>77</v>
      </c>
      <c r="R60" s="8" t="s">
        <v>381</v>
      </c>
      <c r="S60" s="8" t="s">
        <v>380</v>
      </c>
      <c r="T60" s="13"/>
      <c r="U60" s="8" t="s">
        <v>690</v>
      </c>
      <c r="V60" s="8" t="s">
        <v>691</v>
      </c>
      <c r="W60" s="8" t="s">
        <v>692</v>
      </c>
      <c r="X60" s="8" t="s">
        <v>693</v>
      </c>
      <c r="Y60" s="8" t="s">
        <v>694</v>
      </c>
      <c r="Z60" s="8"/>
    </row>
    <row r="61" spans="1:26" ht="31.25" customHeight="1">
      <c r="A61" s="13">
        <v>57</v>
      </c>
      <c r="B61" s="8" t="s">
        <v>64</v>
      </c>
      <c r="C61" s="8" t="s">
        <v>132</v>
      </c>
      <c r="D61" s="8" t="s">
        <v>382</v>
      </c>
      <c r="E61" s="8" t="s">
        <v>11</v>
      </c>
      <c r="F61" s="8" t="s">
        <v>383</v>
      </c>
      <c r="G61" s="8" t="s">
        <v>316</v>
      </c>
      <c r="H61" s="8" t="s">
        <v>384</v>
      </c>
      <c r="I61" s="8" t="s">
        <v>385</v>
      </c>
      <c r="J61" s="8" t="s">
        <v>386</v>
      </c>
      <c r="K61" s="8" t="s">
        <v>72</v>
      </c>
      <c r="L61" s="8" t="s">
        <v>73</v>
      </c>
      <c r="M61" s="8" t="s">
        <v>74</v>
      </c>
      <c r="N61" s="8" t="s">
        <v>112</v>
      </c>
      <c r="O61" s="8" t="s">
        <v>76</v>
      </c>
      <c r="P61" s="14">
        <v>46193</v>
      </c>
      <c r="Q61" s="8" t="s">
        <v>77</v>
      </c>
      <c r="R61" s="8" t="s">
        <v>387</v>
      </c>
      <c r="S61" s="8" t="s">
        <v>386</v>
      </c>
      <c r="T61" s="13"/>
      <c r="U61" s="8" t="s">
        <v>690</v>
      </c>
      <c r="V61" s="8" t="s">
        <v>691</v>
      </c>
      <c r="W61" s="8" t="s">
        <v>692</v>
      </c>
      <c r="X61" s="8" t="s">
        <v>693</v>
      </c>
      <c r="Y61" s="8" t="s">
        <v>694</v>
      </c>
      <c r="Z61" s="8"/>
    </row>
    <row r="62" spans="1:26" ht="31.25" customHeight="1">
      <c r="A62" s="13">
        <v>58</v>
      </c>
      <c r="B62" s="8" t="s">
        <v>64</v>
      </c>
      <c r="C62" s="8" t="s">
        <v>132</v>
      </c>
      <c r="D62" s="8" t="s">
        <v>388</v>
      </c>
      <c r="E62" s="8" t="s">
        <v>11</v>
      </c>
      <c r="F62" s="8" t="s">
        <v>389</v>
      </c>
      <c r="G62" s="8" t="s">
        <v>390</v>
      </c>
      <c r="H62" s="8" t="s">
        <v>391</v>
      </c>
      <c r="I62" s="8" t="s">
        <v>392</v>
      </c>
      <c r="J62" s="8" t="s">
        <v>393</v>
      </c>
      <c r="K62" s="8" t="s">
        <v>72</v>
      </c>
      <c r="L62" s="8" t="s">
        <v>73</v>
      </c>
      <c r="M62" s="8" t="s">
        <v>74</v>
      </c>
      <c r="N62" s="8" t="s">
        <v>112</v>
      </c>
      <c r="O62" s="8" t="s">
        <v>76</v>
      </c>
      <c r="P62" s="14">
        <v>46193</v>
      </c>
      <c r="Q62" s="8" t="s">
        <v>77</v>
      </c>
      <c r="R62" s="8" t="s">
        <v>394</v>
      </c>
      <c r="S62" s="8" t="s">
        <v>393</v>
      </c>
      <c r="T62" s="13"/>
      <c r="U62" s="8" t="s">
        <v>690</v>
      </c>
      <c r="V62" s="8" t="s">
        <v>691</v>
      </c>
      <c r="W62" s="8" t="s">
        <v>692</v>
      </c>
      <c r="X62" s="8" t="s">
        <v>693</v>
      </c>
      <c r="Y62" s="8" t="s">
        <v>694</v>
      </c>
      <c r="Z62" s="8"/>
    </row>
    <row r="63" spans="1:26" ht="31.25" customHeight="1">
      <c r="A63" s="13">
        <v>59</v>
      </c>
      <c r="B63" s="8" t="s">
        <v>64</v>
      </c>
      <c r="C63" s="8" t="s">
        <v>132</v>
      </c>
      <c r="D63" s="8" t="s">
        <v>395</v>
      </c>
      <c r="E63" s="8" t="s">
        <v>11</v>
      </c>
      <c r="F63" s="8" t="s">
        <v>396</v>
      </c>
      <c r="G63" s="8" t="s">
        <v>397</v>
      </c>
      <c r="H63" s="8" t="s">
        <v>398</v>
      </c>
      <c r="I63" s="8" t="s">
        <v>399</v>
      </c>
      <c r="J63" s="8" t="s">
        <v>400</v>
      </c>
      <c r="K63" s="8" t="s">
        <v>72</v>
      </c>
      <c r="L63" s="8" t="s">
        <v>73</v>
      </c>
      <c r="M63" s="8" t="s">
        <v>74</v>
      </c>
      <c r="N63" s="8" t="s">
        <v>112</v>
      </c>
      <c r="O63" s="8" t="s">
        <v>76</v>
      </c>
      <c r="P63" s="14">
        <v>46193</v>
      </c>
      <c r="Q63" s="8" t="s">
        <v>77</v>
      </c>
      <c r="R63" s="8" t="s">
        <v>401</v>
      </c>
      <c r="S63" s="8" t="s">
        <v>400</v>
      </c>
      <c r="T63" s="13"/>
      <c r="U63" s="8" t="s">
        <v>690</v>
      </c>
      <c r="V63" s="8" t="s">
        <v>691</v>
      </c>
      <c r="W63" s="8" t="s">
        <v>692</v>
      </c>
      <c r="X63" s="8" t="s">
        <v>693</v>
      </c>
      <c r="Y63" s="8" t="s">
        <v>694</v>
      </c>
      <c r="Z63" s="8"/>
    </row>
    <row r="64" spans="1:26" ht="31.25" customHeight="1">
      <c r="A64" s="13">
        <v>60</v>
      </c>
      <c r="B64" s="8" t="s">
        <v>64</v>
      </c>
      <c r="C64" s="8" t="s">
        <v>132</v>
      </c>
      <c r="D64" s="8" t="s">
        <v>402</v>
      </c>
      <c r="E64" s="8" t="s">
        <v>11</v>
      </c>
      <c r="F64" s="8" t="s">
        <v>403</v>
      </c>
      <c r="G64" s="8" t="s">
        <v>404</v>
      </c>
      <c r="H64" s="8" t="s">
        <v>405</v>
      </c>
      <c r="I64" s="8" t="s">
        <v>406</v>
      </c>
      <c r="J64" s="8"/>
      <c r="K64" s="8" t="s">
        <v>72</v>
      </c>
      <c r="L64" s="8" t="s">
        <v>84</v>
      </c>
      <c r="M64" s="8" t="s">
        <v>74</v>
      </c>
      <c r="N64" s="8" t="s">
        <v>112</v>
      </c>
      <c r="O64" s="8" t="s">
        <v>76</v>
      </c>
      <c r="P64" s="14">
        <v>46193</v>
      </c>
      <c r="Q64" s="8" t="s">
        <v>85</v>
      </c>
      <c r="R64" s="8" t="s">
        <v>407</v>
      </c>
      <c r="S64" s="8" t="s">
        <v>406</v>
      </c>
      <c r="T64" s="13"/>
      <c r="U64" s="8" t="s">
        <v>690</v>
      </c>
      <c r="V64" s="8" t="s">
        <v>691</v>
      </c>
      <c r="W64" s="8" t="s">
        <v>692</v>
      </c>
      <c r="X64" s="8" t="s">
        <v>693</v>
      </c>
      <c r="Y64" s="8" t="s">
        <v>694</v>
      </c>
      <c r="Z64" s="8"/>
    </row>
    <row r="65" spans="1:26" ht="31.25" customHeight="1">
      <c r="A65" s="13">
        <v>61</v>
      </c>
      <c r="B65" s="8" t="s">
        <v>64</v>
      </c>
      <c r="C65" s="8" t="s">
        <v>65</v>
      </c>
      <c r="D65" s="8" t="s">
        <v>408</v>
      </c>
      <c r="E65" s="8" t="s">
        <v>11</v>
      </c>
      <c r="F65" s="8" t="s">
        <v>409</v>
      </c>
      <c r="G65" s="8" t="s">
        <v>323</v>
      </c>
      <c r="H65" s="8" t="s">
        <v>410</v>
      </c>
      <c r="I65" s="8" t="s">
        <v>411</v>
      </c>
      <c r="J65" s="8"/>
      <c r="K65" s="8" t="s">
        <v>72</v>
      </c>
      <c r="L65" s="8" t="s">
        <v>84</v>
      </c>
      <c r="M65" s="8" t="s">
        <v>74</v>
      </c>
      <c r="N65" s="8" t="s">
        <v>112</v>
      </c>
      <c r="O65" s="8" t="s">
        <v>76</v>
      </c>
      <c r="P65" s="14">
        <v>46193</v>
      </c>
      <c r="Q65" s="8" t="s">
        <v>85</v>
      </c>
      <c r="R65" s="8" t="s">
        <v>412</v>
      </c>
      <c r="S65" s="8" t="s">
        <v>411</v>
      </c>
      <c r="T65" s="13"/>
      <c r="U65" s="8" t="s">
        <v>690</v>
      </c>
      <c r="V65" s="8" t="s">
        <v>691</v>
      </c>
      <c r="W65" s="8" t="s">
        <v>692</v>
      </c>
      <c r="X65" s="8" t="s">
        <v>693</v>
      </c>
      <c r="Y65" s="8" t="s">
        <v>694</v>
      </c>
      <c r="Z65" s="8"/>
    </row>
    <row r="66" spans="1:26" ht="31.25" customHeight="1">
      <c r="A66" s="13">
        <v>62</v>
      </c>
      <c r="B66" s="8" t="s">
        <v>64</v>
      </c>
      <c r="C66" s="8" t="s">
        <v>132</v>
      </c>
      <c r="D66" s="8" t="s">
        <v>413</v>
      </c>
      <c r="E66" s="8" t="s">
        <v>11</v>
      </c>
      <c r="F66" s="8" t="s">
        <v>414</v>
      </c>
      <c r="G66" s="8" t="s">
        <v>316</v>
      </c>
      <c r="H66" s="8" t="s">
        <v>415</v>
      </c>
      <c r="I66" s="8" t="s">
        <v>416</v>
      </c>
      <c r="J66" s="8"/>
      <c r="K66" s="8" t="s">
        <v>72</v>
      </c>
      <c r="L66" s="8" t="s">
        <v>84</v>
      </c>
      <c r="M66" s="8" t="s">
        <v>74</v>
      </c>
      <c r="N66" s="8" t="s">
        <v>112</v>
      </c>
      <c r="O66" s="8" t="s">
        <v>76</v>
      </c>
      <c r="P66" s="14">
        <v>46193</v>
      </c>
      <c r="Q66" s="8" t="s">
        <v>85</v>
      </c>
      <c r="R66" s="8" t="s">
        <v>417</v>
      </c>
      <c r="S66" s="8" t="s">
        <v>416</v>
      </c>
      <c r="T66" s="13"/>
      <c r="U66" s="8" t="s">
        <v>690</v>
      </c>
      <c r="V66" s="8" t="s">
        <v>691</v>
      </c>
      <c r="W66" s="8" t="s">
        <v>692</v>
      </c>
      <c r="X66" s="8" t="s">
        <v>693</v>
      </c>
      <c r="Y66" s="8" t="s">
        <v>694</v>
      </c>
      <c r="Z66" s="8"/>
    </row>
    <row r="67" spans="1:26" ht="31.25" customHeight="1">
      <c r="A67" s="13">
        <v>63</v>
      </c>
      <c r="B67" s="8" t="s">
        <v>64</v>
      </c>
      <c r="C67" s="8" t="s">
        <v>65</v>
      </c>
      <c r="D67" s="8" t="s">
        <v>418</v>
      </c>
      <c r="E67" s="8" t="s">
        <v>13</v>
      </c>
      <c r="F67" s="8" t="s">
        <v>419</v>
      </c>
      <c r="G67" s="8" t="s">
        <v>81</v>
      </c>
      <c r="H67" s="8" t="s">
        <v>420</v>
      </c>
      <c r="I67" s="8" t="s">
        <v>421</v>
      </c>
      <c r="J67" s="8"/>
      <c r="K67" s="8" t="s">
        <v>72</v>
      </c>
      <c r="L67" s="8" t="s">
        <v>84</v>
      </c>
      <c r="M67" s="8" t="s">
        <v>74</v>
      </c>
      <c r="N67" s="8" t="s">
        <v>75</v>
      </c>
      <c r="O67" s="8" t="s">
        <v>76</v>
      </c>
      <c r="P67" s="14">
        <v>46193</v>
      </c>
      <c r="Q67" s="8" t="s">
        <v>85</v>
      </c>
      <c r="R67" s="8" t="s">
        <v>422</v>
      </c>
      <c r="S67" s="8" t="s">
        <v>421</v>
      </c>
      <c r="T67" s="13"/>
      <c r="U67" s="8" t="s">
        <v>690</v>
      </c>
      <c r="V67" s="8" t="s">
        <v>691</v>
      </c>
      <c r="W67" s="8" t="s">
        <v>692</v>
      </c>
      <c r="X67" s="8" t="s">
        <v>693</v>
      </c>
      <c r="Y67" s="8" t="s">
        <v>694</v>
      </c>
      <c r="Z67" s="8"/>
    </row>
    <row r="68" spans="1:26" ht="31.25" customHeight="1">
      <c r="A68" s="13">
        <v>64</v>
      </c>
      <c r="B68" s="8" t="s">
        <v>64</v>
      </c>
      <c r="C68" s="8" t="s">
        <v>65</v>
      </c>
      <c r="D68" s="8" t="s">
        <v>423</v>
      </c>
      <c r="E68" s="8" t="s">
        <v>13</v>
      </c>
      <c r="F68" s="8" t="s">
        <v>419</v>
      </c>
      <c r="G68" s="8" t="s">
        <v>294</v>
      </c>
      <c r="H68" s="8" t="s">
        <v>424</v>
      </c>
      <c r="I68" s="8" t="s">
        <v>425</v>
      </c>
      <c r="J68" s="8"/>
      <c r="K68" s="8" t="s">
        <v>72</v>
      </c>
      <c r="L68" s="8" t="s">
        <v>84</v>
      </c>
      <c r="M68" s="8" t="s">
        <v>74</v>
      </c>
      <c r="N68" s="8" t="s">
        <v>75</v>
      </c>
      <c r="O68" s="8" t="s">
        <v>76</v>
      </c>
      <c r="P68" s="14">
        <v>46193</v>
      </c>
      <c r="Q68" s="8" t="s">
        <v>85</v>
      </c>
      <c r="R68" s="8" t="s">
        <v>426</v>
      </c>
      <c r="S68" s="8" t="s">
        <v>425</v>
      </c>
      <c r="T68" s="13"/>
      <c r="U68" s="8" t="s">
        <v>690</v>
      </c>
      <c r="V68" s="8" t="s">
        <v>691</v>
      </c>
      <c r="W68" s="8" t="s">
        <v>692</v>
      </c>
      <c r="X68" s="8" t="s">
        <v>693</v>
      </c>
      <c r="Y68" s="8" t="s">
        <v>694</v>
      </c>
      <c r="Z68" s="8"/>
    </row>
    <row r="69" spans="1:26" ht="31.25" customHeight="1">
      <c r="A69" s="13">
        <v>65</v>
      </c>
      <c r="B69" s="8" t="s">
        <v>64</v>
      </c>
      <c r="C69" s="8" t="s">
        <v>65</v>
      </c>
      <c r="D69" s="8" t="s">
        <v>427</v>
      </c>
      <c r="E69" s="8" t="s">
        <v>13</v>
      </c>
      <c r="F69" s="8" t="s">
        <v>428</v>
      </c>
      <c r="G69" s="8" t="s">
        <v>294</v>
      </c>
      <c r="H69" s="8" t="s">
        <v>429</v>
      </c>
      <c r="I69" s="8" t="s">
        <v>430</v>
      </c>
      <c r="J69" s="8"/>
      <c r="K69" s="8" t="s">
        <v>72</v>
      </c>
      <c r="L69" s="8" t="s">
        <v>84</v>
      </c>
      <c r="M69" s="8" t="s">
        <v>74</v>
      </c>
      <c r="N69" s="8" t="s">
        <v>75</v>
      </c>
      <c r="O69" s="8" t="s">
        <v>76</v>
      </c>
      <c r="P69" s="14">
        <v>46193</v>
      </c>
      <c r="Q69" s="8" t="s">
        <v>85</v>
      </c>
      <c r="R69" s="8" t="s">
        <v>431</v>
      </c>
      <c r="S69" s="8" t="s">
        <v>430</v>
      </c>
      <c r="T69" s="13"/>
      <c r="U69" s="8" t="s">
        <v>690</v>
      </c>
      <c r="V69" s="8" t="s">
        <v>691</v>
      </c>
      <c r="W69" s="8" t="s">
        <v>692</v>
      </c>
      <c r="X69" s="8" t="s">
        <v>693</v>
      </c>
      <c r="Y69" s="8" t="s">
        <v>694</v>
      </c>
      <c r="Z69" s="8"/>
    </row>
    <row r="70" spans="1:26" ht="31.25" customHeight="1">
      <c r="A70" s="13">
        <v>66</v>
      </c>
      <c r="B70" s="8" t="s">
        <v>64</v>
      </c>
      <c r="C70" s="8" t="s">
        <v>65</v>
      </c>
      <c r="D70" s="8" t="s">
        <v>432</v>
      </c>
      <c r="E70" s="8" t="s">
        <v>13</v>
      </c>
      <c r="F70" s="8" t="s">
        <v>433</v>
      </c>
      <c r="G70" s="8" t="s">
        <v>294</v>
      </c>
      <c r="H70" s="8" t="s">
        <v>239</v>
      </c>
      <c r="I70" s="8" t="s">
        <v>434</v>
      </c>
      <c r="J70" s="8"/>
      <c r="K70" s="8" t="s">
        <v>72</v>
      </c>
      <c r="L70" s="8" t="s">
        <v>84</v>
      </c>
      <c r="M70" s="8" t="s">
        <v>74</v>
      </c>
      <c r="N70" s="8" t="s">
        <v>112</v>
      </c>
      <c r="O70" s="8" t="s">
        <v>76</v>
      </c>
      <c r="P70" s="14">
        <v>46193</v>
      </c>
      <c r="Q70" s="8" t="s">
        <v>85</v>
      </c>
      <c r="R70" s="8" t="s">
        <v>435</v>
      </c>
      <c r="S70" s="8" t="s">
        <v>434</v>
      </c>
      <c r="T70" s="13"/>
      <c r="U70" s="8" t="s">
        <v>690</v>
      </c>
      <c r="V70" s="8" t="s">
        <v>691</v>
      </c>
      <c r="W70" s="8" t="s">
        <v>692</v>
      </c>
      <c r="X70" s="8" t="s">
        <v>693</v>
      </c>
      <c r="Y70" s="8" t="s">
        <v>694</v>
      </c>
      <c r="Z70" s="8"/>
    </row>
    <row r="71" spans="1:26" ht="31.25" customHeight="1">
      <c r="A71" s="13">
        <v>67</v>
      </c>
      <c r="B71" s="8" t="s">
        <v>64</v>
      </c>
      <c r="C71" s="8" t="s">
        <v>65</v>
      </c>
      <c r="D71" s="8" t="s">
        <v>436</v>
      </c>
      <c r="E71" s="8" t="s">
        <v>13</v>
      </c>
      <c r="F71" s="8" t="s">
        <v>437</v>
      </c>
      <c r="G71" s="8" t="s">
        <v>294</v>
      </c>
      <c r="H71" s="8" t="s">
        <v>438</v>
      </c>
      <c r="I71" s="8" t="s">
        <v>439</v>
      </c>
      <c r="J71" s="8"/>
      <c r="K71" s="8" t="s">
        <v>72</v>
      </c>
      <c r="L71" s="8" t="s">
        <v>84</v>
      </c>
      <c r="M71" s="8" t="s">
        <v>74</v>
      </c>
      <c r="N71" s="8" t="s">
        <v>112</v>
      </c>
      <c r="O71" s="8" t="s">
        <v>76</v>
      </c>
      <c r="P71" s="14">
        <v>46193</v>
      </c>
      <c r="Q71" s="8" t="s">
        <v>85</v>
      </c>
      <c r="R71" s="8" t="s">
        <v>440</v>
      </c>
      <c r="S71" s="8" t="s">
        <v>439</v>
      </c>
      <c r="T71" s="13"/>
      <c r="U71" s="8" t="s">
        <v>690</v>
      </c>
      <c r="V71" s="8" t="s">
        <v>691</v>
      </c>
      <c r="W71" s="8" t="s">
        <v>692</v>
      </c>
      <c r="X71" s="8" t="s">
        <v>693</v>
      </c>
      <c r="Y71" s="8" t="s">
        <v>694</v>
      </c>
      <c r="Z71" s="8"/>
    </row>
    <row r="72" spans="1:26" ht="31.25" customHeight="1">
      <c r="A72" s="13">
        <v>68</v>
      </c>
      <c r="B72" s="8" t="s">
        <v>64</v>
      </c>
      <c r="C72" s="8" t="s">
        <v>132</v>
      </c>
      <c r="D72" s="8" t="s">
        <v>441</v>
      </c>
      <c r="E72" s="8" t="s">
        <v>13</v>
      </c>
      <c r="F72" s="8" t="s">
        <v>442</v>
      </c>
      <c r="G72" s="8" t="s">
        <v>294</v>
      </c>
      <c r="H72" s="8" t="s">
        <v>443</v>
      </c>
      <c r="I72" s="8" t="s">
        <v>444</v>
      </c>
      <c r="J72" s="8"/>
      <c r="K72" s="8" t="s">
        <v>72</v>
      </c>
      <c r="L72" s="8" t="s">
        <v>84</v>
      </c>
      <c r="M72" s="8" t="s">
        <v>74</v>
      </c>
      <c r="N72" s="8" t="s">
        <v>112</v>
      </c>
      <c r="O72" s="8" t="s">
        <v>76</v>
      </c>
      <c r="P72" s="14">
        <v>46193</v>
      </c>
      <c r="Q72" s="8" t="s">
        <v>85</v>
      </c>
      <c r="R72" s="8" t="s">
        <v>445</v>
      </c>
      <c r="S72" s="8" t="s">
        <v>444</v>
      </c>
      <c r="T72" s="13"/>
      <c r="U72" s="8" t="s">
        <v>690</v>
      </c>
      <c r="V72" s="8" t="s">
        <v>691</v>
      </c>
      <c r="W72" s="8" t="s">
        <v>692</v>
      </c>
      <c r="X72" s="8" t="s">
        <v>693</v>
      </c>
      <c r="Y72" s="8" t="s">
        <v>694</v>
      </c>
      <c r="Z72" s="8"/>
    </row>
    <row r="73" spans="1:26" ht="31.25" customHeight="1">
      <c r="A73" s="13">
        <v>69</v>
      </c>
      <c r="B73" s="8" t="s">
        <v>64</v>
      </c>
      <c r="C73" s="8" t="s">
        <v>132</v>
      </c>
      <c r="D73" s="8" t="s">
        <v>446</v>
      </c>
      <c r="E73" s="8" t="s">
        <v>13</v>
      </c>
      <c r="F73" s="8" t="s">
        <v>433</v>
      </c>
      <c r="G73" s="8" t="s">
        <v>294</v>
      </c>
      <c r="H73" s="8" t="s">
        <v>244</v>
      </c>
      <c r="I73" s="8" t="s">
        <v>447</v>
      </c>
      <c r="J73" s="8"/>
      <c r="K73" s="8" t="s">
        <v>72</v>
      </c>
      <c r="L73" s="8" t="s">
        <v>84</v>
      </c>
      <c r="M73" s="8" t="s">
        <v>74</v>
      </c>
      <c r="N73" s="8" t="s">
        <v>112</v>
      </c>
      <c r="O73" s="8" t="s">
        <v>76</v>
      </c>
      <c r="P73" s="14">
        <v>46193</v>
      </c>
      <c r="Q73" s="8" t="s">
        <v>85</v>
      </c>
      <c r="R73" s="8" t="s">
        <v>448</v>
      </c>
      <c r="S73" s="8" t="s">
        <v>447</v>
      </c>
      <c r="T73" s="13"/>
      <c r="U73" s="8" t="s">
        <v>690</v>
      </c>
      <c r="V73" s="8" t="s">
        <v>691</v>
      </c>
      <c r="W73" s="8" t="s">
        <v>692</v>
      </c>
      <c r="X73" s="8" t="s">
        <v>693</v>
      </c>
      <c r="Y73" s="8" t="s">
        <v>694</v>
      </c>
      <c r="Z73" s="8"/>
    </row>
    <row r="74" spans="1:26" ht="31.25" customHeight="1">
      <c r="A74" s="13">
        <v>70</v>
      </c>
      <c r="B74" s="8" t="s">
        <v>64</v>
      </c>
      <c r="C74" s="8" t="s">
        <v>132</v>
      </c>
      <c r="D74" s="8" t="s">
        <v>449</v>
      </c>
      <c r="E74" s="8" t="s">
        <v>13</v>
      </c>
      <c r="F74" s="8" t="s">
        <v>450</v>
      </c>
      <c r="G74" s="8" t="s">
        <v>294</v>
      </c>
      <c r="H74" s="8" t="s">
        <v>451</v>
      </c>
      <c r="I74" s="8" t="s">
        <v>452</v>
      </c>
      <c r="J74" s="8"/>
      <c r="K74" s="8" t="s">
        <v>72</v>
      </c>
      <c r="L74" s="8" t="s">
        <v>84</v>
      </c>
      <c r="M74" s="8" t="s">
        <v>74</v>
      </c>
      <c r="N74" s="8" t="s">
        <v>112</v>
      </c>
      <c r="O74" s="8" t="s">
        <v>76</v>
      </c>
      <c r="P74" s="14">
        <v>46193</v>
      </c>
      <c r="Q74" s="8" t="s">
        <v>85</v>
      </c>
      <c r="R74" s="8" t="s">
        <v>453</v>
      </c>
      <c r="S74" s="8" t="s">
        <v>452</v>
      </c>
      <c r="T74" s="13"/>
      <c r="U74" s="8" t="s">
        <v>690</v>
      </c>
      <c r="V74" s="8" t="s">
        <v>691</v>
      </c>
      <c r="W74" s="8" t="s">
        <v>692</v>
      </c>
      <c r="X74" s="8" t="s">
        <v>693</v>
      </c>
      <c r="Y74" s="8" t="s">
        <v>694</v>
      </c>
      <c r="Z74" s="8"/>
    </row>
    <row r="75" spans="1:26" ht="31.25" customHeight="1">
      <c r="A75" s="13">
        <v>71</v>
      </c>
      <c r="B75" s="8" t="s">
        <v>64</v>
      </c>
      <c r="C75" s="8" t="s">
        <v>132</v>
      </c>
      <c r="D75" s="8" t="s">
        <v>454</v>
      </c>
      <c r="E75" s="8" t="s">
        <v>13</v>
      </c>
      <c r="F75" s="8" t="s">
        <v>433</v>
      </c>
      <c r="G75" s="8" t="s">
        <v>294</v>
      </c>
      <c r="H75" s="8" t="s">
        <v>239</v>
      </c>
      <c r="I75" s="8" t="s">
        <v>455</v>
      </c>
      <c r="J75" s="8"/>
      <c r="K75" s="8" t="s">
        <v>72</v>
      </c>
      <c r="L75" s="8" t="s">
        <v>84</v>
      </c>
      <c r="M75" s="8" t="s">
        <v>74</v>
      </c>
      <c r="N75" s="8" t="s">
        <v>112</v>
      </c>
      <c r="O75" s="8" t="s">
        <v>76</v>
      </c>
      <c r="P75" s="14">
        <v>46193</v>
      </c>
      <c r="Q75" s="8" t="s">
        <v>85</v>
      </c>
      <c r="R75" s="8" t="s">
        <v>456</v>
      </c>
      <c r="S75" s="8" t="s">
        <v>455</v>
      </c>
      <c r="T75" s="13"/>
      <c r="U75" s="8" t="s">
        <v>690</v>
      </c>
      <c r="V75" s="8" t="s">
        <v>691</v>
      </c>
      <c r="W75" s="8" t="s">
        <v>692</v>
      </c>
      <c r="X75" s="8" t="s">
        <v>693</v>
      </c>
      <c r="Y75" s="8" t="s">
        <v>694</v>
      </c>
      <c r="Z75" s="8"/>
    </row>
    <row r="76" spans="1:26" ht="31.25" customHeight="1">
      <c r="A76" s="13">
        <v>72</v>
      </c>
      <c r="B76" s="8" t="s">
        <v>64</v>
      </c>
      <c r="C76" s="8" t="s">
        <v>132</v>
      </c>
      <c r="D76" s="8" t="s">
        <v>457</v>
      </c>
      <c r="E76" s="8" t="s">
        <v>13</v>
      </c>
      <c r="F76" s="8" t="s">
        <v>433</v>
      </c>
      <c r="G76" s="8" t="s">
        <v>294</v>
      </c>
      <c r="H76" s="8" t="s">
        <v>458</v>
      </c>
      <c r="I76" s="8" t="s">
        <v>459</v>
      </c>
      <c r="J76" s="8"/>
      <c r="K76" s="8" t="s">
        <v>72</v>
      </c>
      <c r="L76" s="8" t="s">
        <v>84</v>
      </c>
      <c r="M76" s="8" t="s">
        <v>118</v>
      </c>
      <c r="N76" s="8" t="s">
        <v>112</v>
      </c>
      <c r="O76" s="8" t="s">
        <v>76</v>
      </c>
      <c r="P76" s="14">
        <v>46193</v>
      </c>
      <c r="Q76" s="8" t="s">
        <v>85</v>
      </c>
      <c r="R76" s="8" t="s">
        <v>460</v>
      </c>
      <c r="S76" s="8" t="s">
        <v>459</v>
      </c>
      <c r="T76" s="13"/>
      <c r="U76" s="8" t="s">
        <v>690</v>
      </c>
      <c r="V76" s="8" t="s">
        <v>691</v>
      </c>
      <c r="W76" s="8" t="s">
        <v>692</v>
      </c>
      <c r="X76" s="8" t="s">
        <v>693</v>
      </c>
      <c r="Y76" s="8" t="s">
        <v>694</v>
      </c>
      <c r="Z76" s="8"/>
    </row>
    <row r="77" spans="1:26" ht="31.25" customHeight="1">
      <c r="A77" s="13">
        <v>73</v>
      </c>
      <c r="B77" s="8" t="s">
        <v>64</v>
      </c>
      <c r="C77" s="8" t="s">
        <v>132</v>
      </c>
      <c r="D77" s="8" t="s">
        <v>461</v>
      </c>
      <c r="E77" s="8" t="s">
        <v>13</v>
      </c>
      <c r="F77" s="8" t="s">
        <v>462</v>
      </c>
      <c r="G77" s="8" t="s">
        <v>294</v>
      </c>
      <c r="H77" s="8" t="s">
        <v>239</v>
      </c>
      <c r="I77" s="8" t="s">
        <v>463</v>
      </c>
      <c r="J77" s="8"/>
      <c r="K77" s="8" t="s">
        <v>72</v>
      </c>
      <c r="L77" s="8" t="s">
        <v>84</v>
      </c>
      <c r="M77" s="8" t="s">
        <v>74</v>
      </c>
      <c r="N77" s="8" t="s">
        <v>112</v>
      </c>
      <c r="O77" s="8" t="s">
        <v>76</v>
      </c>
      <c r="P77" s="14">
        <v>46193</v>
      </c>
      <c r="Q77" s="8" t="s">
        <v>85</v>
      </c>
      <c r="R77" s="8" t="s">
        <v>464</v>
      </c>
      <c r="S77" s="8" t="s">
        <v>463</v>
      </c>
      <c r="T77" s="13"/>
      <c r="U77" s="8" t="s">
        <v>690</v>
      </c>
      <c r="V77" s="8" t="s">
        <v>691</v>
      </c>
      <c r="W77" s="8" t="s">
        <v>692</v>
      </c>
      <c r="X77" s="8" t="s">
        <v>693</v>
      </c>
      <c r="Y77" s="8" t="s">
        <v>694</v>
      </c>
      <c r="Z77" s="8"/>
    </row>
    <row r="78" spans="1:26" ht="31.25" customHeight="1">
      <c r="A78" s="13">
        <v>74</v>
      </c>
      <c r="B78" s="8" t="s">
        <v>64</v>
      </c>
      <c r="C78" s="8" t="s">
        <v>132</v>
      </c>
      <c r="D78" s="8" t="s">
        <v>465</v>
      </c>
      <c r="E78" s="8" t="s">
        <v>13</v>
      </c>
      <c r="F78" s="8" t="s">
        <v>466</v>
      </c>
      <c r="G78" s="8" t="s">
        <v>294</v>
      </c>
      <c r="H78" s="8" t="s">
        <v>467</v>
      </c>
      <c r="I78" s="8" t="s">
        <v>468</v>
      </c>
      <c r="J78" s="8"/>
      <c r="K78" s="8" t="s">
        <v>72</v>
      </c>
      <c r="L78" s="8" t="s">
        <v>84</v>
      </c>
      <c r="M78" s="8" t="s">
        <v>74</v>
      </c>
      <c r="N78" s="8" t="s">
        <v>112</v>
      </c>
      <c r="O78" s="8" t="s">
        <v>76</v>
      </c>
      <c r="P78" s="14">
        <v>46193</v>
      </c>
      <c r="Q78" s="8" t="s">
        <v>85</v>
      </c>
      <c r="R78" s="8" t="s">
        <v>469</v>
      </c>
      <c r="S78" s="8" t="s">
        <v>468</v>
      </c>
      <c r="T78" s="13"/>
      <c r="U78" s="8" t="s">
        <v>690</v>
      </c>
      <c r="V78" s="8" t="s">
        <v>691</v>
      </c>
      <c r="W78" s="8" t="s">
        <v>692</v>
      </c>
      <c r="X78" s="8" t="s">
        <v>693</v>
      </c>
      <c r="Y78" s="8" t="s">
        <v>694</v>
      </c>
      <c r="Z78" s="8"/>
    </row>
    <row r="79" spans="1:26" ht="31.25" customHeight="1">
      <c r="A79" s="13">
        <v>75</v>
      </c>
      <c r="B79" s="8" t="s">
        <v>64</v>
      </c>
      <c r="C79" s="8" t="s">
        <v>132</v>
      </c>
      <c r="D79" s="8" t="s">
        <v>470</v>
      </c>
      <c r="E79" s="8" t="s">
        <v>13</v>
      </c>
      <c r="F79" s="8" t="s">
        <v>471</v>
      </c>
      <c r="G79" s="8" t="s">
        <v>294</v>
      </c>
      <c r="H79" s="8" t="s">
        <v>472</v>
      </c>
      <c r="I79" s="8" t="s">
        <v>473</v>
      </c>
      <c r="J79" s="8"/>
      <c r="K79" s="8" t="s">
        <v>72</v>
      </c>
      <c r="L79" s="8" t="s">
        <v>84</v>
      </c>
      <c r="M79" s="8" t="s">
        <v>118</v>
      </c>
      <c r="N79" s="8" t="s">
        <v>112</v>
      </c>
      <c r="O79" s="8" t="s">
        <v>76</v>
      </c>
      <c r="P79" s="14">
        <v>46193</v>
      </c>
      <c r="Q79" s="8" t="s">
        <v>85</v>
      </c>
      <c r="R79" s="8" t="s">
        <v>474</v>
      </c>
      <c r="S79" s="8" t="s">
        <v>473</v>
      </c>
      <c r="T79" s="13"/>
      <c r="U79" s="8" t="s">
        <v>690</v>
      </c>
      <c r="V79" s="8" t="s">
        <v>691</v>
      </c>
      <c r="W79" s="8" t="s">
        <v>692</v>
      </c>
      <c r="X79" s="8" t="s">
        <v>693</v>
      </c>
      <c r="Y79" s="8" t="s">
        <v>694</v>
      </c>
      <c r="Z79" s="8"/>
    </row>
    <row r="80" spans="1:26" ht="31.25" customHeight="1">
      <c r="A80" s="13">
        <v>76</v>
      </c>
      <c r="B80" s="8" t="s">
        <v>64</v>
      </c>
      <c r="C80" s="8" t="s">
        <v>132</v>
      </c>
      <c r="D80" s="8" t="s">
        <v>475</v>
      </c>
      <c r="E80" s="8" t="s">
        <v>13</v>
      </c>
      <c r="F80" s="8" t="s">
        <v>433</v>
      </c>
      <c r="G80" s="8" t="s">
        <v>294</v>
      </c>
      <c r="H80" s="8" t="s">
        <v>476</v>
      </c>
      <c r="I80" s="8" t="s">
        <v>477</v>
      </c>
      <c r="J80" s="8"/>
      <c r="K80" s="8" t="s">
        <v>72</v>
      </c>
      <c r="L80" s="8" t="s">
        <v>84</v>
      </c>
      <c r="M80" s="8" t="s">
        <v>118</v>
      </c>
      <c r="N80" s="8" t="s">
        <v>112</v>
      </c>
      <c r="O80" s="8" t="s">
        <v>76</v>
      </c>
      <c r="P80" s="14">
        <v>46193</v>
      </c>
      <c r="Q80" s="8" t="s">
        <v>85</v>
      </c>
      <c r="R80" s="8" t="s">
        <v>478</v>
      </c>
      <c r="S80" s="8" t="s">
        <v>477</v>
      </c>
      <c r="T80" s="13"/>
      <c r="U80" s="8" t="s">
        <v>690</v>
      </c>
      <c r="V80" s="8" t="s">
        <v>691</v>
      </c>
      <c r="W80" s="8" t="s">
        <v>692</v>
      </c>
      <c r="X80" s="8" t="s">
        <v>693</v>
      </c>
      <c r="Y80" s="8" t="s">
        <v>694</v>
      </c>
      <c r="Z80" s="8"/>
    </row>
    <row r="81" spans="1:26" ht="31.25" customHeight="1">
      <c r="A81" s="13">
        <v>77</v>
      </c>
      <c r="B81" s="8" t="s">
        <v>64</v>
      </c>
      <c r="C81" s="8" t="s">
        <v>184</v>
      </c>
      <c r="D81" s="8" t="s">
        <v>479</v>
      </c>
      <c r="E81" s="8" t="s">
        <v>13</v>
      </c>
      <c r="F81" s="8" t="s">
        <v>480</v>
      </c>
      <c r="G81" s="8" t="s">
        <v>481</v>
      </c>
      <c r="H81" s="8" t="s">
        <v>482</v>
      </c>
      <c r="I81" s="8" t="s">
        <v>483</v>
      </c>
      <c r="J81" s="8"/>
      <c r="K81" s="8" t="s">
        <v>72</v>
      </c>
      <c r="L81" s="8" t="s">
        <v>84</v>
      </c>
      <c r="M81" s="8" t="s">
        <v>74</v>
      </c>
      <c r="N81" s="8" t="s">
        <v>112</v>
      </c>
      <c r="O81" s="8" t="s">
        <v>76</v>
      </c>
      <c r="P81" s="14">
        <v>46193</v>
      </c>
      <c r="Q81" s="8" t="s">
        <v>85</v>
      </c>
      <c r="R81" s="8" t="s">
        <v>484</v>
      </c>
      <c r="S81" s="8" t="s">
        <v>483</v>
      </c>
      <c r="T81" s="13"/>
      <c r="U81" s="8" t="s">
        <v>690</v>
      </c>
      <c r="V81" s="8" t="s">
        <v>691</v>
      </c>
      <c r="W81" s="8" t="s">
        <v>692</v>
      </c>
      <c r="X81" s="8" t="s">
        <v>693</v>
      </c>
      <c r="Y81" s="8" t="s">
        <v>694</v>
      </c>
      <c r="Z81" s="8"/>
    </row>
    <row r="82" spans="1:26" ht="31.25" customHeight="1">
      <c r="A82" s="13">
        <v>78</v>
      </c>
      <c r="B82" s="8" t="s">
        <v>64</v>
      </c>
      <c r="C82" s="8" t="s">
        <v>184</v>
      </c>
      <c r="D82" s="8" t="s">
        <v>485</v>
      </c>
      <c r="E82" s="8" t="s">
        <v>13</v>
      </c>
      <c r="F82" s="8" t="s">
        <v>486</v>
      </c>
      <c r="G82" s="8" t="s">
        <v>487</v>
      </c>
      <c r="H82" s="8" t="s">
        <v>488</v>
      </c>
      <c r="I82" s="8" t="s">
        <v>489</v>
      </c>
      <c r="J82" s="8"/>
      <c r="K82" s="8" t="s">
        <v>72</v>
      </c>
      <c r="L82" s="8" t="s">
        <v>84</v>
      </c>
      <c r="M82" s="8" t="s">
        <v>74</v>
      </c>
      <c r="N82" s="8" t="s">
        <v>112</v>
      </c>
      <c r="O82" s="8" t="s">
        <v>76</v>
      </c>
      <c r="P82" s="14">
        <v>46193</v>
      </c>
      <c r="Q82" s="8" t="s">
        <v>85</v>
      </c>
      <c r="R82" s="8" t="s">
        <v>490</v>
      </c>
      <c r="S82" s="8" t="s">
        <v>489</v>
      </c>
      <c r="T82" s="13"/>
      <c r="U82" s="8" t="s">
        <v>690</v>
      </c>
      <c r="V82" s="8" t="s">
        <v>691</v>
      </c>
      <c r="W82" s="8" t="s">
        <v>692</v>
      </c>
      <c r="X82" s="8" t="s">
        <v>693</v>
      </c>
      <c r="Y82" s="8" t="s">
        <v>694</v>
      </c>
      <c r="Z82" s="8"/>
    </row>
    <row r="83" spans="1:26" ht="31.25" customHeight="1">
      <c r="A83" s="13">
        <v>79</v>
      </c>
      <c r="B83" s="8" t="s">
        <v>64</v>
      </c>
      <c r="C83" s="8" t="s">
        <v>184</v>
      </c>
      <c r="D83" s="8" t="s">
        <v>491</v>
      </c>
      <c r="E83" s="8" t="s">
        <v>13</v>
      </c>
      <c r="F83" s="8" t="s">
        <v>486</v>
      </c>
      <c r="G83" s="8" t="s">
        <v>487</v>
      </c>
      <c r="H83" s="8" t="s">
        <v>488</v>
      </c>
      <c r="I83" s="8" t="s">
        <v>492</v>
      </c>
      <c r="J83" s="8"/>
      <c r="K83" s="8" t="s">
        <v>72</v>
      </c>
      <c r="L83" s="8" t="s">
        <v>84</v>
      </c>
      <c r="M83" s="8" t="s">
        <v>74</v>
      </c>
      <c r="N83" s="8" t="s">
        <v>112</v>
      </c>
      <c r="O83" s="8" t="s">
        <v>76</v>
      </c>
      <c r="P83" s="14">
        <v>46193</v>
      </c>
      <c r="Q83" s="8" t="s">
        <v>85</v>
      </c>
      <c r="R83" s="8" t="s">
        <v>493</v>
      </c>
      <c r="S83" s="8" t="s">
        <v>492</v>
      </c>
      <c r="T83" s="13"/>
      <c r="U83" s="8" t="s">
        <v>690</v>
      </c>
      <c r="V83" s="8" t="s">
        <v>691</v>
      </c>
      <c r="W83" s="8" t="s">
        <v>692</v>
      </c>
      <c r="X83" s="8" t="s">
        <v>693</v>
      </c>
      <c r="Y83" s="8" t="s">
        <v>694</v>
      </c>
      <c r="Z83" s="8"/>
    </row>
    <row r="84" spans="1:26" ht="31.25" customHeight="1">
      <c r="A84" s="13">
        <v>80</v>
      </c>
      <c r="B84" s="8" t="s">
        <v>64</v>
      </c>
      <c r="C84" s="8" t="s">
        <v>184</v>
      </c>
      <c r="D84" s="8" t="s">
        <v>494</v>
      </c>
      <c r="E84" s="8" t="s">
        <v>13</v>
      </c>
      <c r="F84" s="8" t="s">
        <v>495</v>
      </c>
      <c r="G84" s="8" t="s">
        <v>316</v>
      </c>
      <c r="H84" s="8" t="s">
        <v>496</v>
      </c>
      <c r="I84" s="8" t="s">
        <v>497</v>
      </c>
      <c r="J84" s="8"/>
      <c r="K84" s="8" t="s">
        <v>72</v>
      </c>
      <c r="L84" s="8" t="s">
        <v>84</v>
      </c>
      <c r="M84" s="8" t="s">
        <v>74</v>
      </c>
      <c r="N84" s="8" t="s">
        <v>75</v>
      </c>
      <c r="O84" s="8" t="s">
        <v>76</v>
      </c>
      <c r="P84" s="14">
        <v>46193</v>
      </c>
      <c r="Q84" s="8" t="s">
        <v>85</v>
      </c>
      <c r="R84" s="8" t="s">
        <v>498</v>
      </c>
      <c r="S84" s="8" t="s">
        <v>497</v>
      </c>
      <c r="T84" s="13"/>
      <c r="U84" s="8" t="s">
        <v>690</v>
      </c>
      <c r="V84" s="8" t="s">
        <v>691</v>
      </c>
      <c r="W84" s="8" t="s">
        <v>692</v>
      </c>
      <c r="X84" s="8" t="s">
        <v>693</v>
      </c>
      <c r="Y84" s="8" t="s">
        <v>694</v>
      </c>
      <c r="Z84" s="8"/>
    </row>
    <row r="85" spans="1:26" ht="31.25" customHeight="1">
      <c r="A85" s="13">
        <v>81</v>
      </c>
      <c r="B85" s="8" t="s">
        <v>64</v>
      </c>
      <c r="C85" s="8" t="s">
        <v>132</v>
      </c>
      <c r="D85" s="8" t="s">
        <v>499</v>
      </c>
      <c r="E85" s="8" t="s">
        <v>15</v>
      </c>
      <c r="F85" s="8" t="s">
        <v>500</v>
      </c>
      <c r="G85" s="8" t="s">
        <v>122</v>
      </c>
      <c r="H85" s="8" t="s">
        <v>123</v>
      </c>
      <c r="I85" s="8" t="s">
        <v>501</v>
      </c>
      <c r="J85" s="8"/>
      <c r="K85" s="8" t="s">
        <v>72</v>
      </c>
      <c r="L85" s="8" t="s">
        <v>84</v>
      </c>
      <c r="M85" s="8" t="s">
        <v>74</v>
      </c>
      <c r="N85" s="8" t="s">
        <v>75</v>
      </c>
      <c r="O85" s="8" t="s">
        <v>76</v>
      </c>
      <c r="P85" s="14">
        <v>46193</v>
      </c>
      <c r="Q85" s="8" t="s">
        <v>85</v>
      </c>
      <c r="R85" s="8" t="s">
        <v>502</v>
      </c>
      <c r="S85" s="8" t="s">
        <v>501</v>
      </c>
      <c r="T85" s="13"/>
      <c r="U85" s="8" t="s">
        <v>690</v>
      </c>
      <c r="V85" s="8" t="s">
        <v>691</v>
      </c>
      <c r="W85" s="8" t="s">
        <v>692</v>
      </c>
      <c r="X85" s="8" t="s">
        <v>693</v>
      </c>
      <c r="Y85" s="8" t="s">
        <v>694</v>
      </c>
      <c r="Z85" s="8"/>
    </row>
    <row r="86" spans="1:26" ht="31.25" customHeight="1">
      <c r="A86" s="13">
        <v>82</v>
      </c>
      <c r="B86" s="8" t="s">
        <v>64</v>
      </c>
      <c r="C86" s="8" t="s">
        <v>132</v>
      </c>
      <c r="D86" s="8" t="s">
        <v>503</v>
      </c>
      <c r="E86" s="8" t="s">
        <v>15</v>
      </c>
      <c r="F86" s="8" t="s">
        <v>504</v>
      </c>
      <c r="G86" s="8" t="s">
        <v>505</v>
      </c>
      <c r="H86" s="8" t="s">
        <v>506</v>
      </c>
      <c r="I86" s="8" t="s">
        <v>507</v>
      </c>
      <c r="J86" s="8"/>
      <c r="K86" s="8" t="s">
        <v>72</v>
      </c>
      <c r="L86" s="8" t="s">
        <v>84</v>
      </c>
      <c r="M86" s="8" t="s">
        <v>74</v>
      </c>
      <c r="N86" s="8" t="s">
        <v>75</v>
      </c>
      <c r="O86" s="8" t="s">
        <v>76</v>
      </c>
      <c r="P86" s="14">
        <v>46193</v>
      </c>
      <c r="Q86" s="8" t="s">
        <v>85</v>
      </c>
      <c r="R86" s="8" t="s">
        <v>508</v>
      </c>
      <c r="S86" s="8" t="s">
        <v>507</v>
      </c>
      <c r="T86" s="13"/>
      <c r="U86" s="8" t="s">
        <v>690</v>
      </c>
      <c r="V86" s="8" t="s">
        <v>691</v>
      </c>
      <c r="W86" s="8" t="s">
        <v>692</v>
      </c>
      <c r="X86" s="8" t="s">
        <v>693</v>
      </c>
      <c r="Y86" s="8" t="s">
        <v>694</v>
      </c>
      <c r="Z86" s="8"/>
    </row>
    <row r="87" spans="1:26" ht="31.25" customHeight="1">
      <c r="A87" s="13">
        <v>83</v>
      </c>
      <c r="B87" s="8" t="s">
        <v>64</v>
      </c>
      <c r="C87" s="8" t="s">
        <v>132</v>
      </c>
      <c r="D87" s="8" t="s">
        <v>509</v>
      </c>
      <c r="E87" s="8" t="s">
        <v>15</v>
      </c>
      <c r="F87" s="8" t="s">
        <v>510</v>
      </c>
      <c r="G87" s="8" t="s">
        <v>316</v>
      </c>
      <c r="H87" s="8" t="s">
        <v>511</v>
      </c>
      <c r="I87" s="8" t="s">
        <v>512</v>
      </c>
      <c r="J87" s="8"/>
      <c r="K87" s="8" t="s">
        <v>72</v>
      </c>
      <c r="L87" s="8" t="s">
        <v>84</v>
      </c>
      <c r="M87" s="8" t="s">
        <v>74</v>
      </c>
      <c r="N87" s="8" t="s">
        <v>75</v>
      </c>
      <c r="O87" s="8" t="s">
        <v>76</v>
      </c>
      <c r="P87" s="14">
        <v>46193</v>
      </c>
      <c r="Q87" s="8" t="s">
        <v>85</v>
      </c>
      <c r="R87" s="8" t="s">
        <v>513</v>
      </c>
      <c r="S87" s="8" t="s">
        <v>512</v>
      </c>
      <c r="T87" s="13"/>
      <c r="U87" s="8" t="s">
        <v>690</v>
      </c>
      <c r="V87" s="8" t="s">
        <v>691</v>
      </c>
      <c r="W87" s="8" t="s">
        <v>692</v>
      </c>
      <c r="X87" s="8" t="s">
        <v>693</v>
      </c>
      <c r="Y87" s="8" t="s">
        <v>694</v>
      </c>
      <c r="Z87" s="8"/>
    </row>
    <row r="88" spans="1:26" ht="31.25" customHeight="1">
      <c r="A88" s="13">
        <v>84</v>
      </c>
      <c r="B88" s="8" t="s">
        <v>64</v>
      </c>
      <c r="C88" s="8" t="s">
        <v>132</v>
      </c>
      <c r="D88" s="8" t="s">
        <v>514</v>
      </c>
      <c r="E88" s="8" t="s">
        <v>15</v>
      </c>
      <c r="F88" s="8" t="s">
        <v>515</v>
      </c>
      <c r="G88" s="8" t="s">
        <v>141</v>
      </c>
      <c r="H88" s="8" t="s">
        <v>516</v>
      </c>
      <c r="I88" s="8" t="s">
        <v>517</v>
      </c>
      <c r="J88" s="8"/>
      <c r="K88" s="8" t="s">
        <v>72</v>
      </c>
      <c r="L88" s="8" t="s">
        <v>84</v>
      </c>
      <c r="M88" s="8" t="s">
        <v>74</v>
      </c>
      <c r="N88" s="8" t="s">
        <v>75</v>
      </c>
      <c r="O88" s="8" t="s">
        <v>76</v>
      </c>
      <c r="P88" s="14">
        <v>46193</v>
      </c>
      <c r="Q88" s="8" t="s">
        <v>85</v>
      </c>
      <c r="R88" s="8" t="s">
        <v>518</v>
      </c>
      <c r="S88" s="8" t="s">
        <v>517</v>
      </c>
      <c r="T88" s="13"/>
      <c r="U88" s="8" t="s">
        <v>690</v>
      </c>
      <c r="V88" s="8" t="s">
        <v>691</v>
      </c>
      <c r="W88" s="8" t="s">
        <v>692</v>
      </c>
      <c r="X88" s="8" t="s">
        <v>693</v>
      </c>
      <c r="Y88" s="8" t="s">
        <v>694</v>
      </c>
      <c r="Z88" s="8"/>
    </row>
    <row r="89" spans="1:26" ht="31.25" customHeight="1">
      <c r="A89" s="13">
        <v>85</v>
      </c>
      <c r="B89" s="8" t="s">
        <v>64</v>
      </c>
      <c r="C89" s="8" t="s">
        <v>132</v>
      </c>
      <c r="D89" s="8" t="s">
        <v>519</v>
      </c>
      <c r="E89" s="8" t="s">
        <v>17</v>
      </c>
      <c r="F89" s="8" t="s">
        <v>520</v>
      </c>
      <c r="G89" s="8" t="s">
        <v>316</v>
      </c>
      <c r="H89" s="8" t="s">
        <v>521</v>
      </c>
      <c r="I89" s="8" t="s">
        <v>522</v>
      </c>
      <c r="J89" s="8"/>
      <c r="K89" s="8" t="s">
        <v>72</v>
      </c>
      <c r="L89" s="8" t="s">
        <v>84</v>
      </c>
      <c r="M89" s="8" t="s">
        <v>74</v>
      </c>
      <c r="N89" s="8" t="s">
        <v>112</v>
      </c>
      <c r="O89" s="8" t="s">
        <v>76</v>
      </c>
      <c r="P89" s="14">
        <v>46193</v>
      </c>
      <c r="Q89" s="8" t="s">
        <v>85</v>
      </c>
      <c r="R89" s="8" t="s">
        <v>523</v>
      </c>
      <c r="S89" s="8" t="s">
        <v>522</v>
      </c>
      <c r="T89" s="13"/>
      <c r="U89" s="8" t="s">
        <v>690</v>
      </c>
      <c r="V89" s="8" t="s">
        <v>691</v>
      </c>
      <c r="W89" s="8" t="s">
        <v>692</v>
      </c>
      <c r="X89" s="8" t="s">
        <v>693</v>
      </c>
      <c r="Y89" s="8" t="s">
        <v>694</v>
      </c>
      <c r="Z89" s="8"/>
    </row>
    <row r="90" spans="1:26" ht="31.25" customHeight="1">
      <c r="A90" s="13">
        <v>86</v>
      </c>
      <c r="B90" s="8" t="s">
        <v>64</v>
      </c>
      <c r="C90" s="8" t="s">
        <v>132</v>
      </c>
      <c r="D90" s="8" t="s">
        <v>524</v>
      </c>
      <c r="E90" s="8" t="s">
        <v>17</v>
      </c>
      <c r="F90" s="8" t="s">
        <v>525</v>
      </c>
      <c r="G90" s="8" t="s">
        <v>316</v>
      </c>
      <c r="H90" s="8" t="s">
        <v>521</v>
      </c>
      <c r="I90" s="8" t="s">
        <v>526</v>
      </c>
      <c r="J90" s="8"/>
      <c r="K90" s="8" t="s">
        <v>72</v>
      </c>
      <c r="L90" s="8" t="s">
        <v>84</v>
      </c>
      <c r="M90" s="8" t="s">
        <v>74</v>
      </c>
      <c r="N90" s="8" t="s">
        <v>75</v>
      </c>
      <c r="O90" s="8" t="s">
        <v>76</v>
      </c>
      <c r="P90" s="14">
        <v>46193</v>
      </c>
      <c r="Q90" s="8" t="s">
        <v>85</v>
      </c>
      <c r="R90" s="8" t="s">
        <v>527</v>
      </c>
      <c r="S90" s="8" t="s">
        <v>526</v>
      </c>
      <c r="T90" s="13"/>
      <c r="U90" s="8" t="s">
        <v>690</v>
      </c>
      <c r="V90" s="8" t="s">
        <v>691</v>
      </c>
      <c r="W90" s="8" t="s">
        <v>692</v>
      </c>
      <c r="X90" s="8" t="s">
        <v>693</v>
      </c>
      <c r="Y90" s="8" t="s">
        <v>694</v>
      </c>
      <c r="Z90" s="8"/>
    </row>
    <row r="91" spans="1:26" ht="31.25" customHeight="1">
      <c r="A91" s="13">
        <v>87</v>
      </c>
      <c r="B91" s="8" t="s">
        <v>64</v>
      </c>
      <c r="C91" s="8" t="s">
        <v>184</v>
      </c>
      <c r="D91" s="8" t="s">
        <v>528</v>
      </c>
      <c r="E91" s="8" t="s">
        <v>17</v>
      </c>
      <c r="F91" s="8" t="s">
        <v>529</v>
      </c>
      <c r="G91" s="8" t="s">
        <v>316</v>
      </c>
      <c r="H91" s="8" t="s">
        <v>521</v>
      </c>
      <c r="I91" s="8" t="s">
        <v>530</v>
      </c>
      <c r="J91" s="8"/>
      <c r="K91" s="8" t="s">
        <v>72</v>
      </c>
      <c r="L91" s="8" t="s">
        <v>84</v>
      </c>
      <c r="M91" s="8" t="s">
        <v>74</v>
      </c>
      <c r="N91" s="8" t="s">
        <v>112</v>
      </c>
      <c r="O91" s="8" t="s">
        <v>76</v>
      </c>
      <c r="P91" s="14">
        <v>46193</v>
      </c>
      <c r="Q91" s="8" t="s">
        <v>85</v>
      </c>
      <c r="R91" s="8" t="s">
        <v>531</v>
      </c>
      <c r="S91" s="8" t="s">
        <v>530</v>
      </c>
      <c r="T91" s="13"/>
      <c r="U91" s="8" t="s">
        <v>690</v>
      </c>
      <c r="V91" s="8" t="s">
        <v>691</v>
      </c>
      <c r="W91" s="8" t="s">
        <v>692</v>
      </c>
      <c r="X91" s="8" t="s">
        <v>693</v>
      </c>
      <c r="Y91" s="8" t="s">
        <v>694</v>
      </c>
      <c r="Z91" s="8"/>
    </row>
    <row r="92" spans="1:26" ht="31.25" customHeight="1">
      <c r="A92" s="13">
        <v>88</v>
      </c>
      <c r="B92" s="8" t="s">
        <v>10</v>
      </c>
      <c r="C92" s="8" t="s">
        <v>184</v>
      </c>
      <c r="D92" s="8" t="s">
        <v>532</v>
      </c>
      <c r="E92" s="8" t="s">
        <v>17</v>
      </c>
      <c r="F92" s="8" t="s">
        <v>533</v>
      </c>
      <c r="G92" s="8" t="s">
        <v>534</v>
      </c>
      <c r="H92" s="8" t="s">
        <v>535</v>
      </c>
      <c r="I92" s="8" t="s">
        <v>536</v>
      </c>
      <c r="J92" s="8"/>
      <c r="K92" s="8" t="s">
        <v>72</v>
      </c>
      <c r="L92" s="8" t="s">
        <v>84</v>
      </c>
      <c r="M92" s="8" t="s">
        <v>118</v>
      </c>
      <c r="N92" s="8" t="s">
        <v>75</v>
      </c>
      <c r="O92" s="8" t="s">
        <v>76</v>
      </c>
      <c r="P92" s="14">
        <v>46193</v>
      </c>
      <c r="Q92" s="8" t="s">
        <v>312</v>
      </c>
      <c r="R92" s="8" t="s">
        <v>537</v>
      </c>
      <c r="S92" s="8" t="s">
        <v>536</v>
      </c>
      <c r="T92" s="13"/>
      <c r="U92" s="8" t="s">
        <v>690</v>
      </c>
      <c r="V92" s="8" t="s">
        <v>691</v>
      </c>
      <c r="W92" s="8" t="s">
        <v>692</v>
      </c>
      <c r="X92" s="8" t="s">
        <v>693</v>
      </c>
      <c r="Y92" s="8" t="s">
        <v>694</v>
      </c>
      <c r="Z92" s="8"/>
    </row>
    <row r="93" spans="1:26" ht="31.25" customHeight="1">
      <c r="A93" s="13">
        <v>89</v>
      </c>
      <c r="B93" s="8" t="s">
        <v>64</v>
      </c>
      <c r="C93" s="8" t="s">
        <v>132</v>
      </c>
      <c r="D93" s="8" t="s">
        <v>538</v>
      </c>
      <c r="E93" s="8" t="s">
        <v>18</v>
      </c>
      <c r="F93" s="8" t="s">
        <v>539</v>
      </c>
      <c r="G93" s="8" t="s">
        <v>294</v>
      </c>
      <c r="H93" s="8" t="s">
        <v>540</v>
      </c>
      <c r="I93" s="8" t="s">
        <v>541</v>
      </c>
      <c r="J93" s="8"/>
      <c r="K93" s="8" t="s">
        <v>72</v>
      </c>
      <c r="L93" s="8" t="s">
        <v>84</v>
      </c>
      <c r="M93" s="8" t="s">
        <v>74</v>
      </c>
      <c r="N93" s="8" t="s">
        <v>112</v>
      </c>
      <c r="O93" s="8" t="s">
        <v>76</v>
      </c>
      <c r="P93" s="14">
        <v>46193</v>
      </c>
      <c r="Q93" s="8" t="s">
        <v>85</v>
      </c>
      <c r="R93" s="8" t="s">
        <v>542</v>
      </c>
      <c r="S93" s="8" t="s">
        <v>541</v>
      </c>
      <c r="T93" s="13"/>
      <c r="U93" s="8" t="s">
        <v>690</v>
      </c>
      <c r="V93" s="8" t="s">
        <v>691</v>
      </c>
      <c r="W93" s="8" t="s">
        <v>692</v>
      </c>
      <c r="X93" s="8" t="s">
        <v>693</v>
      </c>
      <c r="Y93" s="8" t="s">
        <v>694</v>
      </c>
      <c r="Z93" s="8"/>
    </row>
    <row r="94" spans="1:26" ht="31.25" customHeight="1">
      <c r="A94" s="13">
        <v>90</v>
      </c>
      <c r="B94" s="8" t="s">
        <v>64</v>
      </c>
      <c r="C94" s="8" t="s">
        <v>132</v>
      </c>
      <c r="D94" s="8" t="s">
        <v>543</v>
      </c>
      <c r="E94" s="8" t="s">
        <v>18</v>
      </c>
      <c r="F94" s="8" t="s">
        <v>544</v>
      </c>
      <c r="G94" s="8" t="s">
        <v>257</v>
      </c>
      <c r="H94" s="8" t="s">
        <v>545</v>
      </c>
      <c r="I94" s="8" t="s">
        <v>546</v>
      </c>
      <c r="J94" s="8"/>
      <c r="K94" s="8" t="s">
        <v>72</v>
      </c>
      <c r="L94" s="8" t="s">
        <v>84</v>
      </c>
      <c r="M94" s="8" t="s">
        <v>74</v>
      </c>
      <c r="N94" s="8" t="s">
        <v>112</v>
      </c>
      <c r="O94" s="8" t="s">
        <v>76</v>
      </c>
      <c r="P94" s="14">
        <v>46193</v>
      </c>
      <c r="Q94" s="8" t="s">
        <v>85</v>
      </c>
      <c r="R94" s="8" t="s">
        <v>547</v>
      </c>
      <c r="S94" s="8" t="s">
        <v>546</v>
      </c>
      <c r="T94" s="13"/>
      <c r="U94" s="8" t="s">
        <v>690</v>
      </c>
      <c r="V94" s="8" t="s">
        <v>691</v>
      </c>
      <c r="W94" s="8" t="s">
        <v>692</v>
      </c>
      <c r="X94" s="8" t="s">
        <v>693</v>
      </c>
      <c r="Y94" s="8" t="s">
        <v>694</v>
      </c>
      <c r="Z94" s="8"/>
    </row>
    <row r="95" spans="1:26" ht="31.25" customHeight="1">
      <c r="A95" s="13">
        <v>91</v>
      </c>
      <c r="B95" s="8" t="s">
        <v>64</v>
      </c>
      <c r="C95" s="8" t="s">
        <v>65</v>
      </c>
      <c r="D95" s="8" t="s">
        <v>548</v>
      </c>
      <c r="E95" s="8" t="s">
        <v>18</v>
      </c>
      <c r="F95" s="8" t="s">
        <v>549</v>
      </c>
      <c r="G95" s="8" t="s">
        <v>294</v>
      </c>
      <c r="H95" s="8" t="s">
        <v>550</v>
      </c>
      <c r="I95" s="8" t="s">
        <v>551</v>
      </c>
      <c r="J95" s="8"/>
      <c r="K95" s="8" t="s">
        <v>72</v>
      </c>
      <c r="L95" s="8" t="s">
        <v>84</v>
      </c>
      <c r="M95" s="8" t="s">
        <v>74</v>
      </c>
      <c r="N95" s="8" t="s">
        <v>112</v>
      </c>
      <c r="O95" s="8" t="s">
        <v>76</v>
      </c>
      <c r="P95" s="14">
        <v>46193</v>
      </c>
      <c r="Q95" s="8" t="s">
        <v>85</v>
      </c>
      <c r="R95" s="8" t="s">
        <v>552</v>
      </c>
      <c r="S95" s="8" t="s">
        <v>551</v>
      </c>
      <c r="T95" s="13"/>
      <c r="U95" s="8" t="s">
        <v>690</v>
      </c>
      <c r="V95" s="8" t="s">
        <v>691</v>
      </c>
      <c r="W95" s="8" t="s">
        <v>692</v>
      </c>
      <c r="X95" s="8" t="s">
        <v>693</v>
      </c>
      <c r="Y95" s="8" t="s">
        <v>694</v>
      </c>
      <c r="Z95" s="8"/>
    </row>
    <row r="96" spans="1:26" ht="31.25" customHeight="1">
      <c r="A96" s="13">
        <v>92</v>
      </c>
      <c r="B96" s="8" t="s">
        <v>64</v>
      </c>
      <c r="C96" s="8" t="s">
        <v>132</v>
      </c>
      <c r="D96" s="8" t="s">
        <v>553</v>
      </c>
      <c r="E96" s="8" t="s">
        <v>18</v>
      </c>
      <c r="F96" s="8" t="s">
        <v>554</v>
      </c>
      <c r="G96" s="8" t="s">
        <v>330</v>
      </c>
      <c r="H96" s="8" t="s">
        <v>555</v>
      </c>
      <c r="I96" s="8" t="s">
        <v>556</v>
      </c>
      <c r="J96" s="8"/>
      <c r="K96" s="8" t="s">
        <v>72</v>
      </c>
      <c r="L96" s="8" t="s">
        <v>84</v>
      </c>
      <c r="M96" s="8" t="s">
        <v>74</v>
      </c>
      <c r="N96" s="8" t="s">
        <v>112</v>
      </c>
      <c r="O96" s="8" t="s">
        <v>76</v>
      </c>
      <c r="P96" s="14">
        <v>46193</v>
      </c>
      <c r="Q96" s="8" t="s">
        <v>85</v>
      </c>
      <c r="R96" s="8" t="s">
        <v>557</v>
      </c>
      <c r="S96" s="8" t="s">
        <v>556</v>
      </c>
      <c r="T96" s="13"/>
      <c r="U96" s="8" t="s">
        <v>690</v>
      </c>
      <c r="V96" s="8" t="s">
        <v>691</v>
      </c>
      <c r="W96" s="8" t="s">
        <v>692</v>
      </c>
      <c r="X96" s="8" t="s">
        <v>693</v>
      </c>
      <c r="Y96" s="8" t="s">
        <v>694</v>
      </c>
      <c r="Z96" s="8"/>
    </row>
    <row r="97" spans="1:26" ht="31.25" customHeight="1">
      <c r="A97" s="13">
        <v>93</v>
      </c>
      <c r="B97" s="8" t="s">
        <v>64</v>
      </c>
      <c r="C97" s="8" t="s">
        <v>132</v>
      </c>
      <c r="D97" s="8" t="s">
        <v>558</v>
      </c>
      <c r="E97" s="8" t="s">
        <v>18</v>
      </c>
      <c r="F97" s="8" t="s">
        <v>559</v>
      </c>
      <c r="G97" s="8" t="s">
        <v>294</v>
      </c>
      <c r="H97" s="8" t="s">
        <v>560</v>
      </c>
      <c r="I97" s="8" t="s">
        <v>561</v>
      </c>
      <c r="J97" s="8"/>
      <c r="K97" s="8" t="s">
        <v>72</v>
      </c>
      <c r="L97" s="8" t="s">
        <v>84</v>
      </c>
      <c r="M97" s="8" t="s">
        <v>74</v>
      </c>
      <c r="N97" s="8" t="s">
        <v>112</v>
      </c>
      <c r="O97" s="8" t="s">
        <v>76</v>
      </c>
      <c r="P97" s="14">
        <v>46193</v>
      </c>
      <c r="Q97" s="8" t="s">
        <v>85</v>
      </c>
      <c r="R97" s="8" t="s">
        <v>562</v>
      </c>
      <c r="S97" s="8" t="s">
        <v>561</v>
      </c>
      <c r="T97" s="13"/>
      <c r="U97" s="8" t="s">
        <v>690</v>
      </c>
      <c r="V97" s="8" t="s">
        <v>691</v>
      </c>
      <c r="W97" s="8" t="s">
        <v>692</v>
      </c>
      <c r="X97" s="8" t="s">
        <v>693</v>
      </c>
      <c r="Y97" s="8" t="s">
        <v>694</v>
      </c>
      <c r="Z97" s="8"/>
    </row>
    <row r="98" spans="1:26" ht="31.25" customHeight="1">
      <c r="A98" s="13">
        <v>94</v>
      </c>
      <c r="B98" s="8" t="s">
        <v>64</v>
      </c>
      <c r="C98" s="8" t="s">
        <v>132</v>
      </c>
      <c r="D98" s="8" t="s">
        <v>563</v>
      </c>
      <c r="E98" s="8" t="s">
        <v>18</v>
      </c>
      <c r="F98" s="8" t="s">
        <v>564</v>
      </c>
      <c r="G98" s="8" t="s">
        <v>294</v>
      </c>
      <c r="H98" s="8" t="s">
        <v>565</v>
      </c>
      <c r="I98" s="8" t="s">
        <v>566</v>
      </c>
      <c r="J98" s="8"/>
      <c r="K98" s="8" t="s">
        <v>72</v>
      </c>
      <c r="L98" s="8" t="s">
        <v>84</v>
      </c>
      <c r="M98" s="8" t="s">
        <v>74</v>
      </c>
      <c r="N98" s="8" t="s">
        <v>112</v>
      </c>
      <c r="O98" s="8" t="s">
        <v>76</v>
      </c>
      <c r="P98" s="14">
        <v>46193</v>
      </c>
      <c r="Q98" s="8" t="s">
        <v>85</v>
      </c>
      <c r="R98" s="8" t="s">
        <v>567</v>
      </c>
      <c r="S98" s="8" t="s">
        <v>566</v>
      </c>
      <c r="T98" s="13"/>
      <c r="U98" s="8" t="s">
        <v>690</v>
      </c>
      <c r="V98" s="8" t="s">
        <v>691</v>
      </c>
      <c r="W98" s="8" t="s">
        <v>692</v>
      </c>
      <c r="X98" s="8" t="s">
        <v>693</v>
      </c>
      <c r="Y98" s="8" t="s">
        <v>694</v>
      </c>
      <c r="Z98" s="8"/>
    </row>
    <row r="99" spans="1:26" ht="31.25" customHeight="1">
      <c r="A99" s="13">
        <v>95</v>
      </c>
      <c r="B99" s="8" t="s">
        <v>64</v>
      </c>
      <c r="C99" s="8" t="s">
        <v>132</v>
      </c>
      <c r="D99" s="8" t="s">
        <v>568</v>
      </c>
      <c r="E99" s="8" t="s">
        <v>18</v>
      </c>
      <c r="F99" s="8" t="s">
        <v>569</v>
      </c>
      <c r="G99" s="8" t="s">
        <v>570</v>
      </c>
      <c r="H99" s="8" t="s">
        <v>571</v>
      </c>
      <c r="I99" s="8" t="s">
        <v>572</v>
      </c>
      <c r="J99" s="8"/>
      <c r="K99" s="8" t="s">
        <v>72</v>
      </c>
      <c r="L99" s="8" t="s">
        <v>84</v>
      </c>
      <c r="M99" s="8" t="s">
        <v>74</v>
      </c>
      <c r="N99" s="8" t="s">
        <v>75</v>
      </c>
      <c r="O99" s="8" t="s">
        <v>76</v>
      </c>
      <c r="P99" s="14">
        <v>46193</v>
      </c>
      <c r="Q99" s="8" t="s">
        <v>85</v>
      </c>
      <c r="R99" s="8" t="s">
        <v>573</v>
      </c>
      <c r="S99" s="8" t="s">
        <v>572</v>
      </c>
      <c r="T99" s="13"/>
      <c r="U99" s="8" t="s">
        <v>690</v>
      </c>
      <c r="V99" s="8" t="s">
        <v>691</v>
      </c>
      <c r="W99" s="8" t="s">
        <v>692</v>
      </c>
      <c r="X99" s="8" t="s">
        <v>693</v>
      </c>
      <c r="Y99" s="8" t="s">
        <v>694</v>
      </c>
      <c r="Z99" s="8"/>
    </row>
    <row r="100" spans="1:26" ht="31.25" customHeight="1">
      <c r="A100" s="13">
        <v>96</v>
      </c>
      <c r="B100" s="8" t="s">
        <v>64</v>
      </c>
      <c r="C100" s="8" t="s">
        <v>132</v>
      </c>
      <c r="D100" s="8" t="s">
        <v>574</v>
      </c>
      <c r="E100" s="8" t="s">
        <v>18</v>
      </c>
      <c r="F100" s="8" t="s">
        <v>575</v>
      </c>
      <c r="G100" s="8" t="s">
        <v>323</v>
      </c>
      <c r="H100" s="8" t="s">
        <v>576</v>
      </c>
      <c r="I100" s="8" t="s">
        <v>577</v>
      </c>
      <c r="J100" s="8"/>
      <c r="K100" s="8" t="s">
        <v>72</v>
      </c>
      <c r="L100" s="8" t="s">
        <v>84</v>
      </c>
      <c r="M100" s="8" t="s">
        <v>74</v>
      </c>
      <c r="N100" s="8" t="s">
        <v>112</v>
      </c>
      <c r="O100" s="8" t="s">
        <v>76</v>
      </c>
      <c r="P100" s="14">
        <v>46193</v>
      </c>
      <c r="Q100" s="8" t="s">
        <v>85</v>
      </c>
      <c r="R100" s="8" t="s">
        <v>578</v>
      </c>
      <c r="S100" s="8" t="s">
        <v>577</v>
      </c>
      <c r="T100" s="13"/>
      <c r="U100" s="8" t="s">
        <v>690</v>
      </c>
      <c r="V100" s="8" t="s">
        <v>691</v>
      </c>
      <c r="W100" s="8" t="s">
        <v>692</v>
      </c>
      <c r="X100" s="8" t="s">
        <v>693</v>
      </c>
      <c r="Y100" s="8" t="s">
        <v>694</v>
      </c>
      <c r="Z100" s="8"/>
    </row>
    <row r="101" spans="1:26" ht="31.25" customHeight="1">
      <c r="A101" s="13">
        <v>97</v>
      </c>
      <c r="B101" s="8" t="s">
        <v>64</v>
      </c>
      <c r="C101" s="8" t="s">
        <v>184</v>
      </c>
      <c r="D101" s="8" t="s">
        <v>579</v>
      </c>
      <c r="E101" s="8" t="s">
        <v>19</v>
      </c>
      <c r="F101" s="8" t="s">
        <v>580</v>
      </c>
      <c r="G101" s="8" t="s">
        <v>294</v>
      </c>
      <c r="H101" s="8" t="s">
        <v>581</v>
      </c>
      <c r="I101" s="8" t="s">
        <v>582</v>
      </c>
      <c r="J101" s="8"/>
      <c r="K101" s="8" t="s">
        <v>72</v>
      </c>
      <c r="L101" s="8" t="s">
        <v>84</v>
      </c>
      <c r="M101" s="8" t="s">
        <v>74</v>
      </c>
      <c r="N101" s="8" t="s">
        <v>75</v>
      </c>
      <c r="O101" s="8" t="s">
        <v>76</v>
      </c>
      <c r="P101" s="14">
        <v>46193</v>
      </c>
      <c r="Q101" s="8" t="s">
        <v>85</v>
      </c>
      <c r="R101" s="8" t="s">
        <v>583</v>
      </c>
      <c r="S101" s="8" t="s">
        <v>582</v>
      </c>
      <c r="T101" s="13"/>
      <c r="U101" s="8" t="s">
        <v>690</v>
      </c>
      <c r="V101" s="8" t="s">
        <v>691</v>
      </c>
      <c r="W101" s="8" t="s">
        <v>692</v>
      </c>
      <c r="X101" s="8" t="s">
        <v>693</v>
      </c>
      <c r="Y101" s="8" t="s">
        <v>694</v>
      </c>
      <c r="Z101" s="8"/>
    </row>
    <row r="102" spans="1:26" ht="31.25" customHeight="1">
      <c r="A102" s="13">
        <v>98</v>
      </c>
      <c r="B102" s="8" t="s">
        <v>64</v>
      </c>
      <c r="C102" s="8" t="s">
        <v>184</v>
      </c>
      <c r="D102" s="8" t="s">
        <v>584</v>
      </c>
      <c r="E102" s="8" t="s">
        <v>19</v>
      </c>
      <c r="F102" s="8" t="s">
        <v>585</v>
      </c>
      <c r="G102" s="8" t="s">
        <v>294</v>
      </c>
      <c r="H102" s="8" t="s">
        <v>550</v>
      </c>
      <c r="I102" s="8" t="s">
        <v>586</v>
      </c>
      <c r="J102" s="8"/>
      <c r="K102" s="8" t="s">
        <v>72</v>
      </c>
      <c r="L102" s="8" t="s">
        <v>84</v>
      </c>
      <c r="M102" s="8" t="s">
        <v>74</v>
      </c>
      <c r="N102" s="8" t="s">
        <v>112</v>
      </c>
      <c r="O102" s="8" t="s">
        <v>76</v>
      </c>
      <c r="P102" s="14">
        <v>46193</v>
      </c>
      <c r="Q102" s="8" t="s">
        <v>85</v>
      </c>
      <c r="R102" s="8" t="s">
        <v>587</v>
      </c>
      <c r="S102" s="8" t="s">
        <v>586</v>
      </c>
      <c r="T102" s="13"/>
      <c r="U102" s="8" t="s">
        <v>690</v>
      </c>
      <c r="V102" s="8" t="s">
        <v>691</v>
      </c>
      <c r="W102" s="8" t="s">
        <v>692</v>
      </c>
      <c r="X102" s="8" t="s">
        <v>693</v>
      </c>
      <c r="Y102" s="8" t="s">
        <v>694</v>
      </c>
      <c r="Z102" s="8"/>
    </row>
    <row r="103" spans="1:26" ht="31.25" customHeight="1">
      <c r="A103" s="13">
        <v>99</v>
      </c>
      <c r="B103" s="8" t="s">
        <v>64</v>
      </c>
      <c r="C103" s="8" t="s">
        <v>184</v>
      </c>
      <c r="D103" s="8" t="s">
        <v>588</v>
      </c>
      <c r="E103" s="8" t="s">
        <v>19</v>
      </c>
      <c r="F103" s="8" t="s">
        <v>589</v>
      </c>
      <c r="G103" s="8" t="s">
        <v>590</v>
      </c>
      <c r="H103" s="8" t="s">
        <v>591</v>
      </c>
      <c r="I103" s="8" t="s">
        <v>592</v>
      </c>
      <c r="J103" s="8"/>
      <c r="K103" s="8" t="s">
        <v>72</v>
      </c>
      <c r="L103" s="8" t="s">
        <v>84</v>
      </c>
      <c r="M103" s="8" t="s">
        <v>74</v>
      </c>
      <c r="N103" s="8" t="s">
        <v>112</v>
      </c>
      <c r="O103" s="8" t="s">
        <v>76</v>
      </c>
      <c r="P103" s="14">
        <v>46193</v>
      </c>
      <c r="Q103" s="8" t="s">
        <v>85</v>
      </c>
      <c r="R103" s="8" t="s">
        <v>593</v>
      </c>
      <c r="S103" s="8" t="s">
        <v>592</v>
      </c>
      <c r="T103" s="13"/>
      <c r="U103" s="8" t="s">
        <v>690</v>
      </c>
      <c r="V103" s="8" t="s">
        <v>691</v>
      </c>
      <c r="W103" s="8" t="s">
        <v>692</v>
      </c>
      <c r="X103" s="8" t="s">
        <v>693</v>
      </c>
      <c r="Y103" s="8" t="s">
        <v>694</v>
      </c>
      <c r="Z103" s="8"/>
    </row>
    <row r="104" spans="1:26" ht="31.25" customHeight="1">
      <c r="A104" s="13">
        <v>100</v>
      </c>
      <c r="B104" s="8" t="s">
        <v>64</v>
      </c>
      <c r="C104" s="8" t="s">
        <v>184</v>
      </c>
      <c r="D104" s="8" t="s">
        <v>594</v>
      </c>
      <c r="E104" s="8" t="s">
        <v>19</v>
      </c>
      <c r="F104" s="8" t="s">
        <v>589</v>
      </c>
      <c r="G104" s="8" t="s">
        <v>534</v>
      </c>
      <c r="H104" s="8" t="s">
        <v>595</v>
      </c>
      <c r="I104" s="8" t="s">
        <v>596</v>
      </c>
      <c r="J104" s="8"/>
      <c r="K104" s="8" t="s">
        <v>72</v>
      </c>
      <c r="L104" s="8" t="s">
        <v>84</v>
      </c>
      <c r="M104" s="8" t="s">
        <v>74</v>
      </c>
      <c r="N104" s="8" t="s">
        <v>112</v>
      </c>
      <c r="O104" s="8" t="s">
        <v>76</v>
      </c>
      <c r="P104" s="14">
        <v>46193</v>
      </c>
      <c r="Q104" s="8" t="s">
        <v>85</v>
      </c>
      <c r="R104" s="8" t="s">
        <v>597</v>
      </c>
      <c r="S104" s="8" t="s">
        <v>596</v>
      </c>
      <c r="T104" s="13"/>
      <c r="U104" s="8" t="s">
        <v>690</v>
      </c>
      <c r="V104" s="8" t="s">
        <v>691</v>
      </c>
      <c r="W104" s="8" t="s">
        <v>692</v>
      </c>
      <c r="X104" s="8" t="s">
        <v>693</v>
      </c>
      <c r="Y104" s="8" t="s">
        <v>694</v>
      </c>
      <c r="Z104" s="8"/>
    </row>
    <row r="105" spans="1:26" ht="31.25" customHeight="1">
      <c r="A105" s="13">
        <v>101</v>
      </c>
      <c r="B105" s="8" t="s">
        <v>64</v>
      </c>
      <c r="C105" s="8" t="s">
        <v>65</v>
      </c>
      <c r="D105" s="8" t="s">
        <v>695</v>
      </c>
      <c r="E105" s="8" t="s">
        <v>7</v>
      </c>
      <c r="F105" s="8" t="s">
        <v>696</v>
      </c>
      <c r="G105" s="8" t="s">
        <v>697</v>
      </c>
      <c r="H105" s="8" t="s">
        <v>698</v>
      </c>
      <c r="I105" s="8" t="s">
        <v>699</v>
      </c>
      <c r="J105" s="8"/>
      <c r="K105" s="8" t="s">
        <v>72</v>
      </c>
      <c r="L105" s="8" t="s">
        <v>84</v>
      </c>
      <c r="M105" s="8" t="s">
        <v>74</v>
      </c>
      <c r="N105" s="8" t="s">
        <v>75</v>
      </c>
      <c r="O105" s="8" t="s">
        <v>700</v>
      </c>
      <c r="P105" s="14">
        <v>46193</v>
      </c>
      <c r="Q105" s="8" t="s">
        <v>701</v>
      </c>
      <c r="R105" s="8" t="s">
        <v>702</v>
      </c>
      <c r="S105" s="8" t="s">
        <v>699</v>
      </c>
      <c r="T105" s="13">
        <v>5</v>
      </c>
      <c r="U105" s="8" t="s">
        <v>703</v>
      </c>
      <c r="V105" s="8" t="s">
        <v>704</v>
      </c>
      <c r="W105" s="8" t="s">
        <v>705</v>
      </c>
      <c r="X105" s="8" t="s">
        <v>706</v>
      </c>
      <c r="Y105" s="8" t="s">
        <v>707</v>
      </c>
      <c r="Z105" s="8"/>
    </row>
    <row r="106" spans="1:26" ht="31.25" customHeight="1">
      <c r="A106" s="13">
        <v>102</v>
      </c>
      <c r="B106" s="8" t="s">
        <v>64</v>
      </c>
      <c r="C106" s="8" t="s">
        <v>65</v>
      </c>
      <c r="D106" s="8" t="s">
        <v>708</v>
      </c>
      <c r="E106" s="8" t="s">
        <v>7</v>
      </c>
      <c r="F106" s="8" t="s">
        <v>709</v>
      </c>
      <c r="G106" s="8" t="s">
        <v>710</v>
      </c>
      <c r="H106" s="8" t="s">
        <v>711</v>
      </c>
      <c r="I106" s="8" t="s">
        <v>712</v>
      </c>
      <c r="J106" s="8"/>
      <c r="K106" s="8" t="s">
        <v>72</v>
      </c>
      <c r="L106" s="8" t="s">
        <v>84</v>
      </c>
      <c r="M106" s="8" t="s">
        <v>74</v>
      </c>
      <c r="N106" s="8" t="s">
        <v>75</v>
      </c>
      <c r="O106" s="8" t="s">
        <v>700</v>
      </c>
      <c r="P106" s="14">
        <v>46193</v>
      </c>
      <c r="Q106" s="8" t="s">
        <v>713</v>
      </c>
      <c r="R106" s="8" t="s">
        <v>714</v>
      </c>
      <c r="S106" s="8" t="s">
        <v>712</v>
      </c>
      <c r="T106" s="13">
        <v>5</v>
      </c>
      <c r="U106" s="8" t="s">
        <v>703</v>
      </c>
      <c r="V106" s="8" t="s">
        <v>704</v>
      </c>
      <c r="W106" s="8" t="s">
        <v>705</v>
      </c>
      <c r="X106" s="8" t="s">
        <v>706</v>
      </c>
      <c r="Y106" s="8" t="s">
        <v>715</v>
      </c>
      <c r="Z106" s="8"/>
    </row>
    <row r="107" spans="1:26" ht="31.25" customHeight="1">
      <c r="A107" s="13">
        <v>103</v>
      </c>
      <c r="B107" s="8" t="s">
        <v>64</v>
      </c>
      <c r="C107" s="8" t="s">
        <v>65</v>
      </c>
      <c r="D107" s="8" t="s">
        <v>716</v>
      </c>
      <c r="E107" s="8" t="s">
        <v>9</v>
      </c>
      <c r="F107" s="8" t="s">
        <v>717</v>
      </c>
      <c r="G107" s="8" t="s">
        <v>141</v>
      </c>
      <c r="H107" s="8" t="s">
        <v>718</v>
      </c>
      <c r="I107" s="8" t="s">
        <v>719</v>
      </c>
      <c r="J107" s="8"/>
      <c r="K107" s="8" t="s">
        <v>72</v>
      </c>
      <c r="L107" s="8" t="s">
        <v>84</v>
      </c>
      <c r="M107" s="8" t="s">
        <v>74</v>
      </c>
      <c r="N107" s="8" t="s">
        <v>75</v>
      </c>
      <c r="O107" s="8" t="s">
        <v>700</v>
      </c>
      <c r="P107" s="14">
        <v>46193</v>
      </c>
      <c r="Q107" s="8" t="s">
        <v>720</v>
      </c>
      <c r="R107" s="8" t="s">
        <v>721</v>
      </c>
      <c r="S107" s="8" t="s">
        <v>719</v>
      </c>
      <c r="T107" s="13">
        <v>5</v>
      </c>
      <c r="U107" s="8" t="s">
        <v>703</v>
      </c>
      <c r="V107" s="8" t="s">
        <v>722</v>
      </c>
      <c r="W107" s="8" t="s">
        <v>705</v>
      </c>
      <c r="X107" s="8" t="s">
        <v>706</v>
      </c>
      <c r="Y107" s="8" t="s">
        <v>723</v>
      </c>
      <c r="Z107" s="8" t="s">
        <v>724</v>
      </c>
    </row>
    <row r="108" spans="1:26" ht="31.25" customHeight="1">
      <c r="A108" s="13">
        <v>104</v>
      </c>
      <c r="B108" s="8" t="s">
        <v>64</v>
      </c>
      <c r="C108" s="8" t="s">
        <v>65</v>
      </c>
      <c r="D108" s="8" t="s">
        <v>725</v>
      </c>
      <c r="E108" s="8" t="s">
        <v>7</v>
      </c>
      <c r="F108" s="8" t="s">
        <v>726</v>
      </c>
      <c r="G108" s="8" t="s">
        <v>141</v>
      </c>
      <c r="H108" s="8" t="s">
        <v>727</v>
      </c>
      <c r="I108" s="8" t="s">
        <v>728</v>
      </c>
      <c r="J108" s="8"/>
      <c r="K108" s="8" t="s">
        <v>72</v>
      </c>
      <c r="L108" s="8" t="s">
        <v>84</v>
      </c>
      <c r="M108" s="8" t="s">
        <v>74</v>
      </c>
      <c r="N108" s="8" t="s">
        <v>75</v>
      </c>
      <c r="O108" s="8" t="s">
        <v>700</v>
      </c>
      <c r="P108" s="14">
        <v>46193</v>
      </c>
      <c r="Q108" s="8" t="s">
        <v>729</v>
      </c>
      <c r="R108" s="8" t="s">
        <v>730</v>
      </c>
      <c r="S108" s="8" t="s">
        <v>728</v>
      </c>
      <c r="T108" s="13">
        <v>4</v>
      </c>
      <c r="U108" s="8" t="s">
        <v>731</v>
      </c>
      <c r="V108" s="8" t="s">
        <v>704</v>
      </c>
      <c r="W108" s="8" t="s">
        <v>732</v>
      </c>
      <c r="X108" s="8" t="s">
        <v>706</v>
      </c>
      <c r="Y108" s="8" t="s">
        <v>733</v>
      </c>
      <c r="Z108" s="8"/>
    </row>
    <row r="109" spans="1:26" ht="31.25" customHeight="1">
      <c r="A109" s="13">
        <v>105</v>
      </c>
      <c r="B109" s="8" t="s">
        <v>64</v>
      </c>
      <c r="C109" s="8" t="s">
        <v>65</v>
      </c>
      <c r="D109" s="8" t="s">
        <v>614</v>
      </c>
      <c r="E109" s="8" t="s">
        <v>7</v>
      </c>
      <c r="F109" s="8" t="s">
        <v>734</v>
      </c>
      <c r="G109" s="8" t="s">
        <v>735</v>
      </c>
      <c r="H109" s="8" t="s">
        <v>244</v>
      </c>
      <c r="I109" s="8" t="s">
        <v>617</v>
      </c>
      <c r="J109" s="8"/>
      <c r="K109" s="8" t="s">
        <v>72</v>
      </c>
      <c r="L109" s="8" t="s">
        <v>84</v>
      </c>
      <c r="M109" s="8" t="s">
        <v>74</v>
      </c>
      <c r="N109" s="8" t="s">
        <v>75</v>
      </c>
      <c r="O109" s="8" t="s">
        <v>700</v>
      </c>
      <c r="P109" s="14">
        <v>46193</v>
      </c>
      <c r="Q109" s="8" t="s">
        <v>736</v>
      </c>
      <c r="R109" s="8" t="s">
        <v>737</v>
      </c>
      <c r="S109" s="8" t="s">
        <v>617</v>
      </c>
      <c r="T109" s="13">
        <v>5</v>
      </c>
      <c r="U109" s="8" t="s">
        <v>703</v>
      </c>
      <c r="V109" s="8" t="s">
        <v>704</v>
      </c>
      <c r="W109" s="8" t="s">
        <v>705</v>
      </c>
      <c r="X109" s="8" t="s">
        <v>706</v>
      </c>
      <c r="Y109" s="8" t="s">
        <v>738</v>
      </c>
      <c r="Z109" s="8"/>
    </row>
    <row r="110" spans="1:26" ht="31.25" hidden="1" customHeight="1">
      <c r="A110" s="13">
        <v>106</v>
      </c>
      <c r="B110" s="8" t="s">
        <v>739</v>
      </c>
      <c r="C110" s="8" t="s">
        <v>132</v>
      </c>
      <c r="D110" s="8" t="s">
        <v>624</v>
      </c>
      <c r="E110" s="8" t="s">
        <v>740</v>
      </c>
      <c r="F110" s="8" t="s">
        <v>741</v>
      </c>
      <c r="G110" s="8" t="s">
        <v>735</v>
      </c>
      <c r="H110" s="8" t="s">
        <v>742</v>
      </c>
      <c r="I110" s="8" t="s">
        <v>626</v>
      </c>
      <c r="J110" s="8"/>
      <c r="K110" s="8" t="s">
        <v>72</v>
      </c>
      <c r="L110" s="8" t="s">
        <v>84</v>
      </c>
      <c r="M110" s="8" t="s">
        <v>74</v>
      </c>
      <c r="N110" s="8" t="s">
        <v>75</v>
      </c>
      <c r="O110" s="8" t="s">
        <v>700</v>
      </c>
      <c r="P110" s="14">
        <v>46193</v>
      </c>
      <c r="Q110" s="8" t="s">
        <v>743</v>
      </c>
      <c r="R110" s="8" t="s">
        <v>744</v>
      </c>
      <c r="S110" s="8" t="s">
        <v>626</v>
      </c>
      <c r="T110" s="13">
        <v>4</v>
      </c>
      <c r="U110" s="8" t="s">
        <v>731</v>
      </c>
      <c r="V110" s="8" t="s">
        <v>745</v>
      </c>
      <c r="W110" s="8" t="s">
        <v>732</v>
      </c>
      <c r="X110" s="8" t="s">
        <v>706</v>
      </c>
      <c r="Y110" s="8" t="s">
        <v>746</v>
      </c>
      <c r="Z110" s="8"/>
    </row>
    <row r="111" spans="1:26" ht="31.25" hidden="1" customHeight="1">
      <c r="A111" s="13">
        <v>107</v>
      </c>
      <c r="B111" s="8" t="s">
        <v>739</v>
      </c>
      <c r="C111" s="8" t="s">
        <v>132</v>
      </c>
      <c r="D111" s="8" t="s">
        <v>747</v>
      </c>
      <c r="E111" s="8" t="s">
        <v>748</v>
      </c>
      <c r="F111" s="8" t="s">
        <v>749</v>
      </c>
      <c r="G111" s="8" t="s">
        <v>257</v>
      </c>
      <c r="H111" s="8" t="s">
        <v>750</v>
      </c>
      <c r="I111" s="8" t="s">
        <v>620</v>
      </c>
      <c r="J111" s="8" t="s">
        <v>751</v>
      </c>
      <c r="K111" s="8" t="s">
        <v>72</v>
      </c>
      <c r="L111" s="8" t="s">
        <v>73</v>
      </c>
      <c r="M111" s="8" t="s">
        <v>74</v>
      </c>
      <c r="N111" s="8" t="s">
        <v>75</v>
      </c>
      <c r="O111" s="8" t="s">
        <v>700</v>
      </c>
      <c r="P111" s="14">
        <v>46193</v>
      </c>
      <c r="Q111" s="8" t="s">
        <v>752</v>
      </c>
      <c r="R111" s="8" t="s">
        <v>753</v>
      </c>
      <c r="S111" s="8" t="s">
        <v>620</v>
      </c>
      <c r="T111" s="13">
        <v>3</v>
      </c>
      <c r="U111" s="8" t="s">
        <v>754</v>
      </c>
      <c r="V111" s="8" t="s">
        <v>745</v>
      </c>
      <c r="W111" s="8" t="s">
        <v>705</v>
      </c>
      <c r="X111" s="8" t="s">
        <v>706</v>
      </c>
      <c r="Y111" s="8" t="s">
        <v>755</v>
      </c>
      <c r="Z111" s="8"/>
    </row>
    <row r="112" spans="1:26" ht="31.25" hidden="1" customHeight="1">
      <c r="A112" s="13">
        <v>108</v>
      </c>
      <c r="B112" s="8" t="s">
        <v>739</v>
      </c>
      <c r="C112" s="8" t="s">
        <v>132</v>
      </c>
      <c r="D112" s="8" t="s">
        <v>756</v>
      </c>
      <c r="E112" s="8" t="s">
        <v>748</v>
      </c>
      <c r="F112" s="8" t="s">
        <v>757</v>
      </c>
      <c r="G112" s="8" t="s">
        <v>735</v>
      </c>
      <c r="H112" s="8" t="s">
        <v>758</v>
      </c>
      <c r="I112" s="8" t="s">
        <v>759</v>
      </c>
      <c r="J112" s="8"/>
      <c r="K112" s="8" t="s">
        <v>72</v>
      </c>
      <c r="L112" s="8" t="s">
        <v>84</v>
      </c>
      <c r="M112" s="8" t="s">
        <v>74</v>
      </c>
      <c r="N112" s="8" t="s">
        <v>112</v>
      </c>
      <c r="O112" s="8" t="s">
        <v>700</v>
      </c>
      <c r="P112" s="14">
        <v>46193</v>
      </c>
      <c r="Q112" s="8" t="s">
        <v>760</v>
      </c>
      <c r="R112" s="8" t="s">
        <v>761</v>
      </c>
      <c r="S112" s="8" t="s">
        <v>759</v>
      </c>
      <c r="T112" s="13">
        <v>3</v>
      </c>
      <c r="U112" s="8" t="s">
        <v>754</v>
      </c>
      <c r="V112" s="8" t="s">
        <v>745</v>
      </c>
      <c r="W112" s="8" t="s">
        <v>732</v>
      </c>
      <c r="X112" s="8" t="s">
        <v>706</v>
      </c>
      <c r="Y112" s="8" t="s">
        <v>762</v>
      </c>
      <c r="Z112" s="8"/>
    </row>
    <row r="113" spans="1:26" ht="31.25" hidden="1" customHeight="1">
      <c r="A113" s="13">
        <v>109</v>
      </c>
      <c r="B113" s="8" t="s">
        <v>739</v>
      </c>
      <c r="C113" s="8" t="s">
        <v>132</v>
      </c>
      <c r="D113" s="8" t="s">
        <v>763</v>
      </c>
      <c r="E113" s="8" t="s">
        <v>748</v>
      </c>
      <c r="F113" s="8" t="s">
        <v>764</v>
      </c>
      <c r="G113" s="8" t="s">
        <v>735</v>
      </c>
      <c r="H113" s="8" t="s">
        <v>765</v>
      </c>
      <c r="I113" s="8" t="s">
        <v>766</v>
      </c>
      <c r="J113" s="8"/>
      <c r="K113" s="8" t="s">
        <v>72</v>
      </c>
      <c r="L113" s="8" t="s">
        <v>84</v>
      </c>
      <c r="M113" s="8" t="s">
        <v>74</v>
      </c>
      <c r="N113" s="8" t="s">
        <v>112</v>
      </c>
      <c r="O113" s="8" t="s">
        <v>700</v>
      </c>
      <c r="P113" s="14">
        <v>46193</v>
      </c>
      <c r="Q113" s="8" t="s">
        <v>743</v>
      </c>
      <c r="R113" s="8" t="s">
        <v>767</v>
      </c>
      <c r="S113" s="8" t="s">
        <v>766</v>
      </c>
      <c r="T113" s="13">
        <v>3</v>
      </c>
      <c r="U113" s="8" t="s">
        <v>754</v>
      </c>
      <c r="V113" s="8" t="s">
        <v>745</v>
      </c>
      <c r="W113" s="8" t="s">
        <v>732</v>
      </c>
      <c r="X113" s="8" t="s">
        <v>706</v>
      </c>
      <c r="Y113" s="8" t="s">
        <v>762</v>
      </c>
      <c r="Z113" s="8"/>
    </row>
    <row r="114" spans="1:26" ht="31.25" customHeight="1">
      <c r="A114" s="13">
        <v>110</v>
      </c>
      <c r="B114" s="8" t="s">
        <v>64</v>
      </c>
      <c r="C114" s="8" t="s">
        <v>65</v>
      </c>
      <c r="D114" s="8" t="s">
        <v>768</v>
      </c>
      <c r="E114" s="8" t="s">
        <v>7</v>
      </c>
      <c r="F114" s="8" t="s">
        <v>769</v>
      </c>
      <c r="G114" s="8" t="s">
        <v>487</v>
      </c>
      <c r="H114" s="8" t="s">
        <v>770</v>
      </c>
      <c r="I114" s="8" t="s">
        <v>771</v>
      </c>
      <c r="J114" s="8"/>
      <c r="K114" s="8" t="s">
        <v>72</v>
      </c>
      <c r="L114" s="8" t="s">
        <v>84</v>
      </c>
      <c r="M114" s="8" t="s">
        <v>74</v>
      </c>
      <c r="N114" s="8" t="s">
        <v>112</v>
      </c>
      <c r="O114" s="8" t="s">
        <v>700</v>
      </c>
      <c r="P114" s="14">
        <v>46193</v>
      </c>
      <c r="Q114" s="8" t="s">
        <v>713</v>
      </c>
      <c r="R114" s="8" t="s">
        <v>772</v>
      </c>
      <c r="S114" s="8" t="s">
        <v>771</v>
      </c>
      <c r="T114" s="13">
        <v>5</v>
      </c>
      <c r="U114" s="8" t="s">
        <v>703</v>
      </c>
      <c r="V114" s="8" t="s">
        <v>704</v>
      </c>
      <c r="W114" s="8" t="s">
        <v>732</v>
      </c>
      <c r="X114" s="8" t="s">
        <v>706</v>
      </c>
      <c r="Y114" s="8" t="s">
        <v>733</v>
      </c>
      <c r="Z114" s="8"/>
    </row>
    <row r="115" spans="1:26" ht="31.25" customHeight="1">
      <c r="A115" s="13">
        <v>111</v>
      </c>
      <c r="B115" s="8" t="s">
        <v>64</v>
      </c>
      <c r="C115" s="8" t="s">
        <v>65</v>
      </c>
      <c r="D115" s="8" t="s">
        <v>773</v>
      </c>
      <c r="E115" s="8" t="s">
        <v>7</v>
      </c>
      <c r="F115" s="8" t="s">
        <v>774</v>
      </c>
      <c r="G115" s="8" t="s">
        <v>487</v>
      </c>
      <c r="H115" s="8" t="s">
        <v>488</v>
      </c>
      <c r="I115" s="8" t="s">
        <v>775</v>
      </c>
      <c r="J115" s="8"/>
      <c r="K115" s="8" t="s">
        <v>72</v>
      </c>
      <c r="L115" s="8" t="s">
        <v>84</v>
      </c>
      <c r="M115" s="8" t="s">
        <v>74</v>
      </c>
      <c r="N115" s="8" t="s">
        <v>112</v>
      </c>
      <c r="O115" s="8" t="s">
        <v>700</v>
      </c>
      <c r="P115" s="14">
        <v>46193</v>
      </c>
      <c r="Q115" s="8" t="s">
        <v>713</v>
      </c>
      <c r="R115" s="8" t="s">
        <v>776</v>
      </c>
      <c r="S115" s="8" t="s">
        <v>775</v>
      </c>
      <c r="T115" s="13">
        <v>5</v>
      </c>
      <c r="U115" s="8" t="s">
        <v>703</v>
      </c>
      <c r="V115" s="8" t="s">
        <v>704</v>
      </c>
      <c r="W115" s="8" t="s">
        <v>732</v>
      </c>
      <c r="X115" s="8" t="s">
        <v>706</v>
      </c>
      <c r="Y115" s="8" t="s">
        <v>733</v>
      </c>
      <c r="Z115" s="8"/>
    </row>
    <row r="116" spans="1:26" ht="31.25" customHeight="1">
      <c r="A116" s="13">
        <v>112</v>
      </c>
      <c r="B116" s="8" t="s">
        <v>64</v>
      </c>
      <c r="C116" s="8" t="s">
        <v>65</v>
      </c>
      <c r="D116" s="8" t="s">
        <v>777</v>
      </c>
      <c r="E116" s="8" t="s">
        <v>7</v>
      </c>
      <c r="F116" s="8" t="s">
        <v>778</v>
      </c>
      <c r="G116" s="8" t="s">
        <v>141</v>
      </c>
      <c r="H116" s="8" t="s">
        <v>779</v>
      </c>
      <c r="I116" s="8" t="s">
        <v>780</v>
      </c>
      <c r="J116" s="8"/>
      <c r="K116" s="8" t="s">
        <v>72</v>
      </c>
      <c r="L116" s="8" t="s">
        <v>84</v>
      </c>
      <c r="M116" s="8" t="s">
        <v>74</v>
      </c>
      <c r="N116" s="8" t="s">
        <v>75</v>
      </c>
      <c r="O116" s="8" t="s">
        <v>700</v>
      </c>
      <c r="P116" s="14">
        <v>46193</v>
      </c>
      <c r="Q116" s="8" t="s">
        <v>781</v>
      </c>
      <c r="R116" s="8" t="s">
        <v>782</v>
      </c>
      <c r="S116" s="8" t="s">
        <v>780</v>
      </c>
      <c r="T116" s="13">
        <v>4</v>
      </c>
      <c r="U116" s="8" t="s">
        <v>731</v>
      </c>
      <c r="V116" s="8" t="s">
        <v>704</v>
      </c>
      <c r="W116" s="8" t="s">
        <v>705</v>
      </c>
      <c r="X116" s="8" t="s">
        <v>706</v>
      </c>
      <c r="Y116" s="8" t="s">
        <v>783</v>
      </c>
      <c r="Z116" s="8"/>
    </row>
    <row r="117" spans="1:26" ht="31.25" customHeight="1">
      <c r="A117" s="13">
        <v>113</v>
      </c>
      <c r="B117" s="8" t="s">
        <v>64</v>
      </c>
      <c r="C117" s="8" t="s">
        <v>65</v>
      </c>
      <c r="D117" s="8" t="s">
        <v>784</v>
      </c>
      <c r="E117" s="8" t="s">
        <v>7</v>
      </c>
      <c r="F117" s="8" t="s">
        <v>785</v>
      </c>
      <c r="G117" s="8" t="s">
        <v>141</v>
      </c>
      <c r="H117" s="8" t="s">
        <v>786</v>
      </c>
      <c r="I117" s="8" t="s">
        <v>787</v>
      </c>
      <c r="J117" s="8"/>
      <c r="K117" s="8" t="s">
        <v>72</v>
      </c>
      <c r="L117" s="8" t="s">
        <v>84</v>
      </c>
      <c r="M117" s="8" t="s">
        <v>74</v>
      </c>
      <c r="N117" s="8" t="s">
        <v>75</v>
      </c>
      <c r="O117" s="8" t="s">
        <v>700</v>
      </c>
      <c r="P117" s="14">
        <v>46193</v>
      </c>
      <c r="Q117" s="8" t="s">
        <v>729</v>
      </c>
      <c r="R117" s="8" t="s">
        <v>788</v>
      </c>
      <c r="S117" s="8" t="s">
        <v>787</v>
      </c>
      <c r="T117" s="13">
        <v>4</v>
      </c>
      <c r="U117" s="8" t="s">
        <v>731</v>
      </c>
      <c r="V117" s="8" t="s">
        <v>704</v>
      </c>
      <c r="W117" s="8" t="s">
        <v>705</v>
      </c>
      <c r="X117" s="8" t="s">
        <v>706</v>
      </c>
      <c r="Y117" s="8" t="s">
        <v>783</v>
      </c>
      <c r="Z117" s="8"/>
    </row>
    <row r="118" spans="1:26" ht="31.25" customHeight="1">
      <c r="A118" s="13">
        <v>114</v>
      </c>
      <c r="B118" s="8" t="s">
        <v>64</v>
      </c>
      <c r="C118" s="8" t="s">
        <v>132</v>
      </c>
      <c r="D118" s="8" t="s">
        <v>789</v>
      </c>
      <c r="E118" s="8" t="s">
        <v>7</v>
      </c>
      <c r="F118" s="8" t="s">
        <v>790</v>
      </c>
      <c r="G118" s="8" t="s">
        <v>141</v>
      </c>
      <c r="H118" s="8" t="s">
        <v>791</v>
      </c>
      <c r="I118" s="8" t="s">
        <v>792</v>
      </c>
      <c r="J118" s="8"/>
      <c r="K118" s="8" t="s">
        <v>72</v>
      </c>
      <c r="L118" s="8" t="s">
        <v>84</v>
      </c>
      <c r="M118" s="8" t="s">
        <v>74</v>
      </c>
      <c r="N118" s="8" t="s">
        <v>75</v>
      </c>
      <c r="O118" s="8" t="s">
        <v>700</v>
      </c>
      <c r="P118" s="14">
        <v>46193</v>
      </c>
      <c r="Q118" s="8" t="s">
        <v>729</v>
      </c>
      <c r="R118" s="8" t="s">
        <v>793</v>
      </c>
      <c r="S118" s="8" t="s">
        <v>792</v>
      </c>
      <c r="T118" s="13">
        <v>4</v>
      </c>
      <c r="U118" s="8" t="s">
        <v>731</v>
      </c>
      <c r="V118" s="8" t="s">
        <v>704</v>
      </c>
      <c r="W118" s="8" t="s">
        <v>732</v>
      </c>
      <c r="X118" s="8" t="s">
        <v>706</v>
      </c>
      <c r="Y118" s="8" t="s">
        <v>733</v>
      </c>
      <c r="Z118" s="8"/>
    </row>
    <row r="119" spans="1:26" ht="31.25" customHeight="1">
      <c r="A119" s="13">
        <v>115</v>
      </c>
      <c r="B119" s="8" t="s">
        <v>64</v>
      </c>
      <c r="C119" s="8" t="s">
        <v>132</v>
      </c>
      <c r="D119" s="8" t="s">
        <v>794</v>
      </c>
      <c r="E119" s="8" t="s">
        <v>7</v>
      </c>
      <c r="F119" s="8" t="s">
        <v>795</v>
      </c>
      <c r="G119" s="8" t="s">
        <v>330</v>
      </c>
      <c r="H119" s="8" t="s">
        <v>796</v>
      </c>
      <c r="I119" s="8" t="s">
        <v>797</v>
      </c>
      <c r="J119" s="8"/>
      <c r="K119" s="8" t="s">
        <v>72</v>
      </c>
      <c r="L119" s="8" t="s">
        <v>84</v>
      </c>
      <c r="M119" s="8" t="s">
        <v>74</v>
      </c>
      <c r="N119" s="8" t="s">
        <v>75</v>
      </c>
      <c r="O119" s="8" t="s">
        <v>700</v>
      </c>
      <c r="P119" s="14">
        <v>46193</v>
      </c>
      <c r="Q119" s="8" t="s">
        <v>729</v>
      </c>
      <c r="R119" s="8" t="s">
        <v>798</v>
      </c>
      <c r="S119" s="8" t="s">
        <v>797</v>
      </c>
      <c r="T119" s="13">
        <v>4</v>
      </c>
      <c r="U119" s="8" t="s">
        <v>731</v>
      </c>
      <c r="V119" s="8" t="s">
        <v>704</v>
      </c>
      <c r="W119" s="8" t="s">
        <v>732</v>
      </c>
      <c r="X119" s="8" t="s">
        <v>706</v>
      </c>
      <c r="Y119" s="8" t="s">
        <v>783</v>
      </c>
      <c r="Z119" s="8"/>
    </row>
    <row r="120" spans="1:26" ht="31.25" customHeight="1">
      <c r="A120" s="13">
        <v>116</v>
      </c>
      <c r="B120" s="8" t="s">
        <v>64</v>
      </c>
      <c r="C120" s="8" t="s">
        <v>65</v>
      </c>
      <c r="D120" s="8" t="s">
        <v>799</v>
      </c>
      <c r="E120" s="8" t="s">
        <v>15</v>
      </c>
      <c r="F120" s="8" t="s">
        <v>800</v>
      </c>
      <c r="G120" s="8" t="s">
        <v>141</v>
      </c>
      <c r="H120" s="8" t="s">
        <v>300</v>
      </c>
      <c r="I120" s="8" t="s">
        <v>801</v>
      </c>
      <c r="J120" s="8"/>
      <c r="K120" s="8" t="s">
        <v>72</v>
      </c>
      <c r="L120" s="8" t="s">
        <v>84</v>
      </c>
      <c r="M120" s="8" t="s">
        <v>74</v>
      </c>
      <c r="N120" s="8" t="s">
        <v>112</v>
      </c>
      <c r="O120" s="8" t="s">
        <v>700</v>
      </c>
      <c r="P120" s="14">
        <v>46193</v>
      </c>
      <c r="Q120" s="8" t="s">
        <v>802</v>
      </c>
      <c r="R120" s="8" t="s">
        <v>803</v>
      </c>
      <c r="S120" s="8" t="s">
        <v>801</v>
      </c>
      <c r="T120" s="13">
        <v>4</v>
      </c>
      <c r="U120" s="8" t="s">
        <v>731</v>
      </c>
      <c r="V120" s="8" t="s">
        <v>804</v>
      </c>
      <c r="W120" s="8" t="s">
        <v>705</v>
      </c>
      <c r="X120" s="8" t="s">
        <v>706</v>
      </c>
      <c r="Y120" s="8" t="s">
        <v>805</v>
      </c>
      <c r="Z120" s="8"/>
    </row>
    <row r="121" spans="1:26" ht="31.25" customHeight="1">
      <c r="A121" s="13">
        <v>117</v>
      </c>
      <c r="B121" s="8" t="s">
        <v>64</v>
      </c>
      <c r="C121" s="8" t="s">
        <v>65</v>
      </c>
      <c r="D121" s="8" t="s">
        <v>806</v>
      </c>
      <c r="E121" s="8" t="s">
        <v>13</v>
      </c>
      <c r="F121" s="8" t="s">
        <v>807</v>
      </c>
      <c r="G121" s="8" t="s">
        <v>128</v>
      </c>
      <c r="H121" s="8" t="s">
        <v>244</v>
      </c>
      <c r="I121" s="8" t="s">
        <v>808</v>
      </c>
      <c r="J121" s="8"/>
      <c r="K121" s="8" t="s">
        <v>72</v>
      </c>
      <c r="L121" s="8" t="s">
        <v>84</v>
      </c>
      <c r="M121" s="8" t="s">
        <v>74</v>
      </c>
      <c r="N121" s="8" t="s">
        <v>75</v>
      </c>
      <c r="O121" s="8" t="s">
        <v>700</v>
      </c>
      <c r="P121" s="14">
        <v>46193</v>
      </c>
      <c r="Q121" s="8" t="s">
        <v>802</v>
      </c>
      <c r="R121" s="8" t="s">
        <v>809</v>
      </c>
      <c r="S121" s="8" t="s">
        <v>808</v>
      </c>
      <c r="T121" s="13">
        <v>4</v>
      </c>
      <c r="U121" s="8" t="s">
        <v>731</v>
      </c>
      <c r="V121" s="8" t="s">
        <v>804</v>
      </c>
      <c r="W121" s="8" t="s">
        <v>705</v>
      </c>
      <c r="X121" s="8" t="s">
        <v>706</v>
      </c>
      <c r="Y121" s="8" t="s">
        <v>783</v>
      </c>
      <c r="Z121" s="8"/>
    </row>
    <row r="122" spans="1:26" ht="31.25" customHeight="1">
      <c r="A122" s="13">
        <v>118</v>
      </c>
      <c r="B122" s="8" t="s">
        <v>64</v>
      </c>
      <c r="C122" s="8" t="s">
        <v>65</v>
      </c>
      <c r="D122" s="8" t="s">
        <v>810</v>
      </c>
      <c r="E122" s="8" t="s">
        <v>13</v>
      </c>
      <c r="F122" s="8" t="s">
        <v>811</v>
      </c>
      <c r="G122" s="8" t="s">
        <v>735</v>
      </c>
      <c r="H122" s="8" t="s">
        <v>228</v>
      </c>
      <c r="I122" s="8" t="s">
        <v>812</v>
      </c>
      <c r="J122" s="8"/>
      <c r="K122" s="8" t="s">
        <v>72</v>
      </c>
      <c r="L122" s="8" t="s">
        <v>813</v>
      </c>
      <c r="M122" s="8" t="s">
        <v>74</v>
      </c>
      <c r="N122" s="8" t="s">
        <v>112</v>
      </c>
      <c r="O122" s="8" t="s">
        <v>700</v>
      </c>
      <c r="P122" s="14">
        <v>46193</v>
      </c>
      <c r="Q122" s="8" t="s">
        <v>814</v>
      </c>
      <c r="R122" s="8" t="s">
        <v>815</v>
      </c>
      <c r="S122" s="8" t="s">
        <v>816</v>
      </c>
      <c r="T122" s="13">
        <v>4</v>
      </c>
      <c r="U122" s="8" t="s">
        <v>731</v>
      </c>
      <c r="V122" s="8" t="s">
        <v>804</v>
      </c>
      <c r="W122" s="8" t="s">
        <v>705</v>
      </c>
      <c r="X122" s="8" t="s">
        <v>706</v>
      </c>
      <c r="Y122" s="8" t="s">
        <v>817</v>
      </c>
      <c r="Z122" s="8" t="s">
        <v>818</v>
      </c>
    </row>
    <row r="123" spans="1:26" ht="31.25" customHeight="1">
      <c r="A123" s="13">
        <v>119</v>
      </c>
      <c r="B123" s="8" t="s">
        <v>64</v>
      </c>
      <c r="C123" s="8" t="s">
        <v>65</v>
      </c>
      <c r="D123" s="8" t="s">
        <v>819</v>
      </c>
      <c r="E123" s="8" t="s">
        <v>13</v>
      </c>
      <c r="F123" s="8" t="s">
        <v>820</v>
      </c>
      <c r="G123" s="8" t="s">
        <v>710</v>
      </c>
      <c r="H123" s="8" t="s">
        <v>821</v>
      </c>
      <c r="I123" s="8" t="s">
        <v>822</v>
      </c>
      <c r="J123" s="8"/>
      <c r="K123" s="8" t="s">
        <v>72</v>
      </c>
      <c r="L123" s="8" t="s">
        <v>84</v>
      </c>
      <c r="M123" s="8" t="s">
        <v>74</v>
      </c>
      <c r="N123" s="8" t="s">
        <v>112</v>
      </c>
      <c r="O123" s="8" t="s">
        <v>700</v>
      </c>
      <c r="P123" s="14">
        <v>46193</v>
      </c>
      <c r="Q123" s="8" t="s">
        <v>729</v>
      </c>
      <c r="R123" s="8" t="s">
        <v>823</v>
      </c>
      <c r="S123" s="8" t="s">
        <v>822</v>
      </c>
      <c r="T123" s="13">
        <v>4</v>
      </c>
      <c r="U123" s="8" t="s">
        <v>731</v>
      </c>
      <c r="V123" s="8" t="s">
        <v>804</v>
      </c>
      <c r="W123" s="8" t="s">
        <v>732</v>
      </c>
      <c r="X123" s="8" t="s">
        <v>706</v>
      </c>
      <c r="Y123" s="8" t="s">
        <v>733</v>
      </c>
      <c r="Z123" s="8"/>
    </row>
    <row r="124" spans="1:26" ht="31.25" customHeight="1">
      <c r="A124" s="13">
        <v>120</v>
      </c>
      <c r="B124" s="8" t="s">
        <v>64</v>
      </c>
      <c r="C124" s="8" t="s">
        <v>65</v>
      </c>
      <c r="D124" s="8" t="s">
        <v>824</v>
      </c>
      <c r="E124" s="8" t="s">
        <v>15</v>
      </c>
      <c r="F124" s="8" t="s">
        <v>825</v>
      </c>
      <c r="G124" s="8" t="s">
        <v>710</v>
      </c>
      <c r="H124" s="8" t="s">
        <v>826</v>
      </c>
      <c r="I124" s="8" t="s">
        <v>827</v>
      </c>
      <c r="J124" s="8"/>
      <c r="K124" s="8" t="s">
        <v>72</v>
      </c>
      <c r="L124" s="8" t="s">
        <v>84</v>
      </c>
      <c r="M124" s="8" t="s">
        <v>74</v>
      </c>
      <c r="N124" s="8" t="s">
        <v>112</v>
      </c>
      <c r="O124" s="8" t="s">
        <v>700</v>
      </c>
      <c r="P124" s="14">
        <v>46193</v>
      </c>
      <c r="Q124" s="8" t="s">
        <v>828</v>
      </c>
      <c r="R124" s="8" t="s">
        <v>829</v>
      </c>
      <c r="S124" s="8" t="s">
        <v>827</v>
      </c>
      <c r="T124" s="13">
        <v>4</v>
      </c>
      <c r="U124" s="8" t="s">
        <v>731</v>
      </c>
      <c r="V124" s="8" t="s">
        <v>804</v>
      </c>
      <c r="W124" s="8" t="s">
        <v>705</v>
      </c>
      <c r="X124" s="8" t="s">
        <v>706</v>
      </c>
      <c r="Y124" s="8" t="s">
        <v>783</v>
      </c>
      <c r="Z124" s="8"/>
    </row>
    <row r="125" spans="1:26" ht="31.25" customHeight="1">
      <c r="A125" s="13">
        <v>121</v>
      </c>
      <c r="B125" s="8" t="s">
        <v>64</v>
      </c>
      <c r="C125" s="8" t="s">
        <v>65</v>
      </c>
      <c r="D125" s="8" t="s">
        <v>830</v>
      </c>
      <c r="E125" s="8" t="s">
        <v>15</v>
      </c>
      <c r="F125" s="8" t="s">
        <v>831</v>
      </c>
      <c r="G125" s="8" t="s">
        <v>710</v>
      </c>
      <c r="H125" s="8" t="s">
        <v>832</v>
      </c>
      <c r="I125" s="8" t="s">
        <v>833</v>
      </c>
      <c r="J125" s="8" t="s">
        <v>834</v>
      </c>
      <c r="K125" s="8" t="s">
        <v>72</v>
      </c>
      <c r="L125" s="8" t="s">
        <v>73</v>
      </c>
      <c r="M125" s="8" t="s">
        <v>74</v>
      </c>
      <c r="N125" s="8" t="s">
        <v>112</v>
      </c>
      <c r="O125" s="8" t="s">
        <v>700</v>
      </c>
      <c r="P125" s="14">
        <v>46193</v>
      </c>
      <c r="Q125" s="8" t="s">
        <v>835</v>
      </c>
      <c r="R125" s="8" t="s">
        <v>836</v>
      </c>
      <c r="S125" s="8" t="s">
        <v>833</v>
      </c>
      <c r="T125" s="13">
        <v>4</v>
      </c>
      <c r="U125" s="8" t="s">
        <v>731</v>
      </c>
      <c r="V125" s="8" t="s">
        <v>804</v>
      </c>
      <c r="W125" s="8" t="s">
        <v>705</v>
      </c>
      <c r="X125" s="8" t="s">
        <v>706</v>
      </c>
      <c r="Y125" s="8" t="s">
        <v>837</v>
      </c>
      <c r="Z125" s="8"/>
    </row>
    <row r="126" spans="1:26" ht="31.25" customHeight="1">
      <c r="A126" s="13">
        <v>122</v>
      </c>
      <c r="B126" s="8" t="s">
        <v>64</v>
      </c>
      <c r="C126" s="8" t="s">
        <v>132</v>
      </c>
      <c r="D126" s="8" t="s">
        <v>838</v>
      </c>
      <c r="E126" s="8" t="s">
        <v>15</v>
      </c>
      <c r="F126" s="8" t="s">
        <v>839</v>
      </c>
      <c r="G126" s="8" t="s">
        <v>330</v>
      </c>
      <c r="H126" s="8" t="s">
        <v>796</v>
      </c>
      <c r="I126" s="8" t="s">
        <v>840</v>
      </c>
      <c r="J126" s="8"/>
      <c r="K126" s="8" t="s">
        <v>72</v>
      </c>
      <c r="L126" s="8" t="s">
        <v>84</v>
      </c>
      <c r="M126" s="8" t="s">
        <v>74</v>
      </c>
      <c r="N126" s="8" t="s">
        <v>112</v>
      </c>
      <c r="O126" s="8" t="s">
        <v>700</v>
      </c>
      <c r="P126" s="14">
        <v>46193</v>
      </c>
      <c r="Q126" s="8" t="s">
        <v>841</v>
      </c>
      <c r="R126" s="8" t="s">
        <v>842</v>
      </c>
      <c r="S126" s="8" t="s">
        <v>840</v>
      </c>
      <c r="T126" s="13">
        <v>4</v>
      </c>
      <c r="U126" s="8" t="s">
        <v>731</v>
      </c>
      <c r="V126" s="8" t="s">
        <v>704</v>
      </c>
      <c r="W126" s="8" t="s">
        <v>732</v>
      </c>
      <c r="X126" s="8" t="s">
        <v>706</v>
      </c>
      <c r="Y126" s="8" t="s">
        <v>843</v>
      </c>
      <c r="Z126" s="8"/>
    </row>
    <row r="127" spans="1:26" ht="31.25" customHeight="1">
      <c r="A127" s="13">
        <v>123</v>
      </c>
      <c r="B127" s="8" t="s">
        <v>64</v>
      </c>
      <c r="C127" s="8" t="s">
        <v>65</v>
      </c>
      <c r="D127" s="8" t="s">
        <v>844</v>
      </c>
      <c r="E127" s="8" t="s">
        <v>9</v>
      </c>
      <c r="F127" s="8" t="s">
        <v>845</v>
      </c>
      <c r="G127" s="8" t="s">
        <v>710</v>
      </c>
      <c r="H127" s="8" t="s">
        <v>846</v>
      </c>
      <c r="I127" s="8" t="s">
        <v>847</v>
      </c>
      <c r="J127" s="8" t="s">
        <v>848</v>
      </c>
      <c r="K127" s="8" t="s">
        <v>72</v>
      </c>
      <c r="L127" s="8" t="s">
        <v>73</v>
      </c>
      <c r="M127" s="8" t="s">
        <v>74</v>
      </c>
      <c r="N127" s="8" t="s">
        <v>112</v>
      </c>
      <c r="O127" s="8" t="s">
        <v>700</v>
      </c>
      <c r="P127" s="14">
        <v>46193</v>
      </c>
      <c r="Q127" s="8" t="s">
        <v>849</v>
      </c>
      <c r="R127" s="8" t="s">
        <v>850</v>
      </c>
      <c r="S127" s="8" t="s">
        <v>848</v>
      </c>
      <c r="T127" s="13">
        <v>5</v>
      </c>
      <c r="U127" s="8" t="s">
        <v>703</v>
      </c>
      <c r="V127" s="8" t="s">
        <v>722</v>
      </c>
      <c r="W127" s="8" t="s">
        <v>705</v>
      </c>
      <c r="X127" s="8" t="s">
        <v>706</v>
      </c>
      <c r="Y127" s="8" t="s">
        <v>851</v>
      </c>
      <c r="Z127" s="8"/>
    </row>
    <row r="128" spans="1:26" ht="31.25" customHeight="1">
      <c r="A128" s="13">
        <v>124</v>
      </c>
      <c r="B128" s="8" t="s">
        <v>64</v>
      </c>
      <c r="C128" s="8" t="s">
        <v>65</v>
      </c>
      <c r="D128" s="8" t="s">
        <v>852</v>
      </c>
      <c r="E128" s="8" t="s">
        <v>9</v>
      </c>
      <c r="F128" s="8" t="s">
        <v>853</v>
      </c>
      <c r="G128" s="8" t="s">
        <v>122</v>
      </c>
      <c r="H128" s="8" t="s">
        <v>218</v>
      </c>
      <c r="I128" s="8" t="s">
        <v>854</v>
      </c>
      <c r="J128" s="8" t="s">
        <v>855</v>
      </c>
      <c r="K128" s="8" t="s">
        <v>72</v>
      </c>
      <c r="L128" s="8" t="s">
        <v>73</v>
      </c>
      <c r="M128" s="8" t="s">
        <v>74</v>
      </c>
      <c r="N128" s="8" t="s">
        <v>112</v>
      </c>
      <c r="O128" s="8" t="s">
        <v>700</v>
      </c>
      <c r="P128" s="14">
        <v>46193</v>
      </c>
      <c r="Q128" s="8" t="s">
        <v>835</v>
      </c>
      <c r="R128" s="8" t="s">
        <v>856</v>
      </c>
      <c r="S128" s="8" t="s">
        <v>854</v>
      </c>
      <c r="T128" s="13">
        <v>5</v>
      </c>
      <c r="U128" s="8" t="s">
        <v>703</v>
      </c>
      <c r="V128" s="8" t="s">
        <v>722</v>
      </c>
      <c r="W128" s="8" t="s">
        <v>705</v>
      </c>
      <c r="X128" s="8" t="s">
        <v>706</v>
      </c>
      <c r="Y128" s="8" t="s">
        <v>837</v>
      </c>
      <c r="Z128" s="8"/>
    </row>
    <row r="129" spans="1:26" ht="31.25" customHeight="1">
      <c r="A129" s="13">
        <v>125</v>
      </c>
      <c r="B129" s="8" t="s">
        <v>64</v>
      </c>
      <c r="C129" s="8" t="s">
        <v>65</v>
      </c>
      <c r="D129" s="8" t="s">
        <v>857</v>
      </c>
      <c r="E129" s="8" t="s">
        <v>9</v>
      </c>
      <c r="F129" s="8" t="s">
        <v>858</v>
      </c>
      <c r="G129" s="8" t="s">
        <v>697</v>
      </c>
      <c r="H129" s="8" t="s">
        <v>859</v>
      </c>
      <c r="I129" s="8" t="s">
        <v>860</v>
      </c>
      <c r="J129" s="8"/>
      <c r="K129" s="8" t="s">
        <v>72</v>
      </c>
      <c r="L129" s="8" t="s">
        <v>84</v>
      </c>
      <c r="M129" s="8" t="s">
        <v>74</v>
      </c>
      <c r="N129" s="8" t="s">
        <v>112</v>
      </c>
      <c r="O129" s="8" t="s">
        <v>700</v>
      </c>
      <c r="P129" s="14">
        <v>46193</v>
      </c>
      <c r="Q129" s="8" t="s">
        <v>861</v>
      </c>
      <c r="R129" s="8" t="s">
        <v>862</v>
      </c>
      <c r="S129" s="8" t="s">
        <v>860</v>
      </c>
      <c r="T129" s="13">
        <v>5</v>
      </c>
      <c r="U129" s="8" t="s">
        <v>703</v>
      </c>
      <c r="V129" s="8" t="s">
        <v>722</v>
      </c>
      <c r="W129" s="8" t="s">
        <v>705</v>
      </c>
      <c r="X129" s="8" t="s">
        <v>706</v>
      </c>
      <c r="Y129" s="8" t="s">
        <v>746</v>
      </c>
      <c r="Z129" s="8"/>
    </row>
    <row r="130" spans="1:26" ht="31.25" customHeight="1">
      <c r="A130" s="13">
        <v>126</v>
      </c>
      <c r="B130" s="8" t="s">
        <v>64</v>
      </c>
      <c r="C130" s="8" t="s">
        <v>65</v>
      </c>
      <c r="D130" s="8" t="s">
        <v>863</v>
      </c>
      <c r="E130" s="8" t="s">
        <v>15</v>
      </c>
      <c r="F130" s="8" t="s">
        <v>864</v>
      </c>
      <c r="G130" s="8" t="s">
        <v>128</v>
      </c>
      <c r="H130" s="8" t="s">
        <v>865</v>
      </c>
      <c r="I130" s="8" t="s">
        <v>866</v>
      </c>
      <c r="J130" s="8" t="s">
        <v>867</v>
      </c>
      <c r="K130" s="8" t="s">
        <v>72</v>
      </c>
      <c r="L130" s="8" t="s">
        <v>73</v>
      </c>
      <c r="M130" s="8" t="s">
        <v>74</v>
      </c>
      <c r="N130" s="8" t="s">
        <v>112</v>
      </c>
      <c r="O130" s="8" t="s">
        <v>700</v>
      </c>
      <c r="P130" s="14">
        <v>46193</v>
      </c>
      <c r="Q130" s="8" t="s">
        <v>835</v>
      </c>
      <c r="R130" s="8" t="s">
        <v>868</v>
      </c>
      <c r="S130" s="8" t="s">
        <v>866</v>
      </c>
      <c r="T130" s="13">
        <v>4</v>
      </c>
      <c r="U130" s="8" t="s">
        <v>731</v>
      </c>
      <c r="V130" s="8" t="s">
        <v>722</v>
      </c>
      <c r="W130" s="8" t="s">
        <v>705</v>
      </c>
      <c r="X130" s="8" t="s">
        <v>706</v>
      </c>
      <c r="Y130" s="8" t="s">
        <v>837</v>
      </c>
      <c r="Z130" s="8"/>
    </row>
    <row r="131" spans="1:26" ht="31.25" customHeight="1">
      <c r="A131" s="13">
        <v>127</v>
      </c>
      <c r="B131" s="8" t="s">
        <v>64</v>
      </c>
      <c r="C131" s="8" t="s">
        <v>65</v>
      </c>
      <c r="D131" s="8" t="s">
        <v>869</v>
      </c>
      <c r="E131" s="8" t="s">
        <v>9</v>
      </c>
      <c r="F131" s="8" t="s">
        <v>870</v>
      </c>
      <c r="G131" s="8" t="s">
        <v>710</v>
      </c>
      <c r="H131" s="8" t="s">
        <v>871</v>
      </c>
      <c r="I131" s="8" t="s">
        <v>872</v>
      </c>
      <c r="J131" s="8" t="s">
        <v>873</v>
      </c>
      <c r="K131" s="8" t="s">
        <v>72</v>
      </c>
      <c r="L131" s="8" t="s">
        <v>73</v>
      </c>
      <c r="M131" s="8" t="s">
        <v>74</v>
      </c>
      <c r="N131" s="8" t="s">
        <v>112</v>
      </c>
      <c r="O131" s="8" t="s">
        <v>700</v>
      </c>
      <c r="P131" s="14">
        <v>46193</v>
      </c>
      <c r="Q131" s="8" t="s">
        <v>874</v>
      </c>
      <c r="R131" s="8" t="s">
        <v>875</v>
      </c>
      <c r="S131" s="8" t="s">
        <v>872</v>
      </c>
      <c r="T131" s="13">
        <v>4</v>
      </c>
      <c r="U131" s="8" t="s">
        <v>731</v>
      </c>
      <c r="V131" s="8" t="s">
        <v>722</v>
      </c>
      <c r="W131" s="8" t="s">
        <v>705</v>
      </c>
      <c r="X131" s="8" t="s">
        <v>706</v>
      </c>
      <c r="Y131" s="8" t="s">
        <v>837</v>
      </c>
      <c r="Z131" s="8"/>
    </row>
    <row r="132" spans="1:26" ht="31.25" customHeight="1">
      <c r="A132" s="13">
        <v>128</v>
      </c>
      <c r="B132" s="8" t="s">
        <v>64</v>
      </c>
      <c r="C132" s="8" t="s">
        <v>65</v>
      </c>
      <c r="D132" s="8" t="s">
        <v>876</v>
      </c>
      <c r="E132" s="8" t="s">
        <v>11</v>
      </c>
      <c r="F132" s="8" t="s">
        <v>877</v>
      </c>
      <c r="G132" s="8" t="s">
        <v>878</v>
      </c>
      <c r="H132" s="8" t="s">
        <v>879</v>
      </c>
      <c r="I132" s="8" t="s">
        <v>880</v>
      </c>
      <c r="J132" s="8" t="s">
        <v>881</v>
      </c>
      <c r="K132" s="8" t="s">
        <v>882</v>
      </c>
      <c r="L132" s="8" t="s">
        <v>73</v>
      </c>
      <c r="M132" s="8" t="s">
        <v>74</v>
      </c>
      <c r="N132" s="8" t="s">
        <v>112</v>
      </c>
      <c r="O132" s="8" t="s">
        <v>700</v>
      </c>
      <c r="P132" s="14">
        <v>46193</v>
      </c>
      <c r="Q132" s="8" t="s">
        <v>883</v>
      </c>
      <c r="R132" s="8" t="s">
        <v>884</v>
      </c>
      <c r="S132" s="8" t="s">
        <v>885</v>
      </c>
      <c r="T132" s="13">
        <v>5</v>
      </c>
      <c r="U132" s="8" t="s">
        <v>703</v>
      </c>
      <c r="V132" s="8" t="s">
        <v>886</v>
      </c>
      <c r="W132" s="8" t="s">
        <v>705</v>
      </c>
      <c r="X132" s="8" t="s">
        <v>706</v>
      </c>
      <c r="Y132" s="8" t="s">
        <v>887</v>
      </c>
      <c r="Z132" s="8"/>
    </row>
    <row r="133" spans="1:26" ht="31.25" customHeight="1">
      <c r="A133" s="13">
        <v>129</v>
      </c>
      <c r="B133" s="8" t="s">
        <v>64</v>
      </c>
      <c r="C133" s="8" t="s">
        <v>65</v>
      </c>
      <c r="D133" s="8" t="s">
        <v>888</v>
      </c>
      <c r="E133" s="8" t="s">
        <v>11</v>
      </c>
      <c r="F133" s="8" t="s">
        <v>889</v>
      </c>
      <c r="G133" s="8" t="s">
        <v>878</v>
      </c>
      <c r="H133" s="8" t="s">
        <v>890</v>
      </c>
      <c r="I133" s="8" t="s">
        <v>891</v>
      </c>
      <c r="J133" s="8" t="s">
        <v>892</v>
      </c>
      <c r="K133" s="8" t="s">
        <v>72</v>
      </c>
      <c r="L133" s="8" t="s">
        <v>73</v>
      </c>
      <c r="M133" s="8" t="s">
        <v>74</v>
      </c>
      <c r="N133" s="8" t="s">
        <v>112</v>
      </c>
      <c r="O133" s="8" t="s">
        <v>700</v>
      </c>
      <c r="P133" s="14">
        <v>46193</v>
      </c>
      <c r="Q133" s="8" t="s">
        <v>893</v>
      </c>
      <c r="R133" s="8" t="s">
        <v>894</v>
      </c>
      <c r="S133" s="8" t="s">
        <v>895</v>
      </c>
      <c r="T133" s="13">
        <v>5</v>
      </c>
      <c r="U133" s="8" t="s">
        <v>703</v>
      </c>
      <c r="V133" s="8" t="s">
        <v>886</v>
      </c>
      <c r="W133" s="8" t="s">
        <v>705</v>
      </c>
      <c r="X133" s="8" t="s">
        <v>706</v>
      </c>
      <c r="Y133" s="8" t="s">
        <v>896</v>
      </c>
      <c r="Z133" s="8" t="s">
        <v>892</v>
      </c>
    </row>
    <row r="134" spans="1:26" ht="31.25" customHeight="1">
      <c r="A134" s="13">
        <v>130</v>
      </c>
      <c r="B134" s="8" t="s">
        <v>64</v>
      </c>
      <c r="C134" s="8" t="s">
        <v>132</v>
      </c>
      <c r="D134" s="8" t="s">
        <v>897</v>
      </c>
      <c r="E134" s="8" t="s">
        <v>11</v>
      </c>
      <c r="F134" s="8" t="s">
        <v>898</v>
      </c>
      <c r="G134" s="8" t="s">
        <v>263</v>
      </c>
      <c r="H134" s="8" t="s">
        <v>796</v>
      </c>
      <c r="I134" s="8" t="s">
        <v>899</v>
      </c>
      <c r="J134" s="8"/>
      <c r="K134" s="8" t="s">
        <v>72</v>
      </c>
      <c r="L134" s="8" t="s">
        <v>84</v>
      </c>
      <c r="M134" s="8" t="s">
        <v>74</v>
      </c>
      <c r="N134" s="8" t="s">
        <v>112</v>
      </c>
      <c r="O134" s="8" t="s">
        <v>700</v>
      </c>
      <c r="P134" s="14">
        <v>46193</v>
      </c>
      <c r="Q134" s="8" t="s">
        <v>900</v>
      </c>
      <c r="R134" s="8" t="s">
        <v>901</v>
      </c>
      <c r="S134" s="8" t="s">
        <v>899</v>
      </c>
      <c r="T134" s="13">
        <v>5</v>
      </c>
      <c r="U134" s="8" t="s">
        <v>703</v>
      </c>
      <c r="V134" s="8" t="s">
        <v>886</v>
      </c>
      <c r="W134" s="8" t="s">
        <v>705</v>
      </c>
      <c r="X134" s="8" t="s">
        <v>706</v>
      </c>
      <c r="Y134" s="8" t="s">
        <v>746</v>
      </c>
      <c r="Z134" s="8"/>
    </row>
    <row r="135" spans="1:26" ht="31.25" customHeight="1">
      <c r="A135" s="13">
        <v>131</v>
      </c>
      <c r="B135" s="8" t="s">
        <v>64</v>
      </c>
      <c r="C135" s="8" t="s">
        <v>132</v>
      </c>
      <c r="D135" s="8" t="s">
        <v>902</v>
      </c>
      <c r="E135" s="8" t="s">
        <v>11</v>
      </c>
      <c r="F135" s="8" t="s">
        <v>903</v>
      </c>
      <c r="G135" s="8" t="s">
        <v>263</v>
      </c>
      <c r="H135" s="8" t="s">
        <v>904</v>
      </c>
      <c r="I135" s="8" t="s">
        <v>905</v>
      </c>
      <c r="J135" s="8"/>
      <c r="K135" s="8" t="s">
        <v>72</v>
      </c>
      <c r="L135" s="8" t="s">
        <v>84</v>
      </c>
      <c r="M135" s="8" t="s">
        <v>74</v>
      </c>
      <c r="N135" s="8" t="s">
        <v>112</v>
      </c>
      <c r="O135" s="8" t="s">
        <v>700</v>
      </c>
      <c r="P135" s="14">
        <v>46193</v>
      </c>
      <c r="Q135" s="8" t="s">
        <v>906</v>
      </c>
      <c r="R135" s="8" t="s">
        <v>907</v>
      </c>
      <c r="S135" s="8" t="s">
        <v>905</v>
      </c>
      <c r="T135" s="13">
        <v>4</v>
      </c>
      <c r="U135" s="8" t="s">
        <v>731</v>
      </c>
      <c r="V135" s="8" t="s">
        <v>886</v>
      </c>
      <c r="W135" s="8" t="s">
        <v>732</v>
      </c>
      <c r="X135" s="8" t="s">
        <v>706</v>
      </c>
      <c r="Y135" s="8" t="s">
        <v>733</v>
      </c>
      <c r="Z135" s="8"/>
    </row>
    <row r="136" spans="1:26" ht="31.25" customHeight="1">
      <c r="A136" s="13">
        <v>132</v>
      </c>
      <c r="B136" s="8" t="s">
        <v>64</v>
      </c>
      <c r="C136" s="8" t="s">
        <v>65</v>
      </c>
      <c r="D136" s="8" t="s">
        <v>908</v>
      </c>
      <c r="E136" s="8" t="s">
        <v>11</v>
      </c>
      <c r="F136" s="8" t="s">
        <v>909</v>
      </c>
      <c r="G136" s="8" t="s">
        <v>122</v>
      </c>
      <c r="H136" s="8" t="s">
        <v>910</v>
      </c>
      <c r="I136" s="8" t="s">
        <v>911</v>
      </c>
      <c r="J136" s="8" t="s">
        <v>912</v>
      </c>
      <c r="K136" s="8" t="s">
        <v>72</v>
      </c>
      <c r="L136" s="8" t="s">
        <v>913</v>
      </c>
      <c r="M136" s="8" t="s">
        <v>74</v>
      </c>
      <c r="N136" s="8" t="s">
        <v>112</v>
      </c>
      <c r="O136" s="8" t="s">
        <v>700</v>
      </c>
      <c r="P136" s="14">
        <v>46193</v>
      </c>
      <c r="Q136" s="8" t="s">
        <v>914</v>
      </c>
      <c r="R136" s="8" t="s">
        <v>915</v>
      </c>
      <c r="S136" s="8" t="s">
        <v>912</v>
      </c>
      <c r="T136" s="13">
        <v>5</v>
      </c>
      <c r="U136" s="8" t="s">
        <v>703</v>
      </c>
      <c r="V136" s="8" t="s">
        <v>886</v>
      </c>
      <c r="W136" s="8" t="s">
        <v>705</v>
      </c>
      <c r="X136" s="8" t="s">
        <v>706</v>
      </c>
      <c r="Y136" s="8" t="s">
        <v>916</v>
      </c>
      <c r="Z136" s="8"/>
    </row>
    <row r="137" spans="1:26" ht="31.25" customHeight="1">
      <c r="A137" s="13">
        <v>133</v>
      </c>
      <c r="B137" s="8" t="s">
        <v>64</v>
      </c>
      <c r="C137" s="8" t="s">
        <v>132</v>
      </c>
      <c r="D137" s="8" t="s">
        <v>917</v>
      </c>
      <c r="E137" s="8" t="s">
        <v>11</v>
      </c>
      <c r="F137" s="8" t="s">
        <v>918</v>
      </c>
      <c r="G137" s="8" t="s">
        <v>710</v>
      </c>
      <c r="H137" s="8" t="s">
        <v>323</v>
      </c>
      <c r="I137" s="8" t="s">
        <v>919</v>
      </c>
      <c r="J137" s="8" t="s">
        <v>920</v>
      </c>
      <c r="K137" s="8" t="s">
        <v>72</v>
      </c>
      <c r="L137" s="8" t="s">
        <v>921</v>
      </c>
      <c r="M137" s="8" t="s">
        <v>74</v>
      </c>
      <c r="N137" s="8" t="s">
        <v>112</v>
      </c>
      <c r="O137" s="8" t="s">
        <v>700</v>
      </c>
      <c r="P137" s="14">
        <v>46193</v>
      </c>
      <c r="Q137" s="8" t="s">
        <v>922</v>
      </c>
      <c r="R137" s="8" t="s">
        <v>923</v>
      </c>
      <c r="S137" s="8" t="s">
        <v>919</v>
      </c>
      <c r="T137" s="13">
        <v>4</v>
      </c>
      <c r="U137" s="8" t="s">
        <v>731</v>
      </c>
      <c r="V137" s="8" t="s">
        <v>886</v>
      </c>
      <c r="W137" s="8" t="s">
        <v>705</v>
      </c>
      <c r="X137" s="8" t="s">
        <v>706</v>
      </c>
      <c r="Y137" s="8" t="s">
        <v>924</v>
      </c>
      <c r="Z137" s="8"/>
    </row>
    <row r="138" spans="1:26" ht="31.25" customHeight="1">
      <c r="A138" s="13">
        <v>134</v>
      </c>
      <c r="B138" s="8" t="s">
        <v>64</v>
      </c>
      <c r="C138" s="8" t="s">
        <v>132</v>
      </c>
      <c r="D138" s="8" t="s">
        <v>925</v>
      </c>
      <c r="E138" s="8" t="s">
        <v>11</v>
      </c>
      <c r="F138" s="8" t="s">
        <v>926</v>
      </c>
      <c r="G138" s="8" t="s">
        <v>263</v>
      </c>
      <c r="H138" s="8" t="s">
        <v>927</v>
      </c>
      <c r="I138" s="8" t="s">
        <v>928</v>
      </c>
      <c r="J138" s="8"/>
      <c r="K138" s="8" t="s">
        <v>72</v>
      </c>
      <c r="L138" s="8" t="s">
        <v>84</v>
      </c>
      <c r="M138" s="8" t="s">
        <v>74</v>
      </c>
      <c r="N138" s="8" t="s">
        <v>112</v>
      </c>
      <c r="O138" s="8" t="s">
        <v>700</v>
      </c>
      <c r="P138" s="14">
        <v>46193</v>
      </c>
      <c r="Q138" s="8" t="s">
        <v>929</v>
      </c>
      <c r="R138" s="8" t="s">
        <v>930</v>
      </c>
      <c r="S138" s="8" t="s">
        <v>928</v>
      </c>
      <c r="T138" s="13">
        <v>4</v>
      </c>
      <c r="U138" s="8" t="s">
        <v>731</v>
      </c>
      <c r="V138" s="8" t="s">
        <v>886</v>
      </c>
      <c r="W138" s="8" t="s">
        <v>732</v>
      </c>
      <c r="X138" s="8" t="s">
        <v>706</v>
      </c>
      <c r="Y138" s="8" t="s">
        <v>931</v>
      </c>
      <c r="Z138" s="8"/>
    </row>
    <row r="139" spans="1:26" ht="31.25" customHeight="1">
      <c r="A139" s="13">
        <v>135</v>
      </c>
      <c r="B139" s="8" t="s">
        <v>64</v>
      </c>
      <c r="C139" s="8" t="s">
        <v>65</v>
      </c>
      <c r="D139" s="8" t="s">
        <v>932</v>
      </c>
      <c r="E139" s="8" t="s">
        <v>11</v>
      </c>
      <c r="F139" s="8" t="s">
        <v>933</v>
      </c>
      <c r="G139" s="8" t="s">
        <v>710</v>
      </c>
      <c r="H139" s="8" t="s">
        <v>934</v>
      </c>
      <c r="I139" s="8" t="s">
        <v>935</v>
      </c>
      <c r="J139" s="8"/>
      <c r="K139" s="8" t="s">
        <v>72</v>
      </c>
      <c r="L139" s="8" t="s">
        <v>84</v>
      </c>
      <c r="M139" s="8" t="s">
        <v>74</v>
      </c>
      <c r="N139" s="8" t="s">
        <v>112</v>
      </c>
      <c r="O139" s="8" t="s">
        <v>700</v>
      </c>
      <c r="P139" s="14">
        <v>46193</v>
      </c>
      <c r="Q139" s="8" t="s">
        <v>936</v>
      </c>
      <c r="R139" s="8" t="s">
        <v>937</v>
      </c>
      <c r="S139" s="8" t="s">
        <v>935</v>
      </c>
      <c r="T139" s="13">
        <v>5</v>
      </c>
      <c r="U139" s="8" t="s">
        <v>703</v>
      </c>
      <c r="V139" s="8" t="s">
        <v>886</v>
      </c>
      <c r="W139" s="8" t="s">
        <v>705</v>
      </c>
      <c r="X139" s="8" t="s">
        <v>706</v>
      </c>
      <c r="Y139" s="8" t="s">
        <v>746</v>
      </c>
      <c r="Z139" s="8"/>
    </row>
    <row r="140" spans="1:26" ht="31.25" customHeight="1">
      <c r="A140" s="13">
        <v>136</v>
      </c>
      <c r="B140" s="8" t="s">
        <v>64</v>
      </c>
      <c r="C140" s="8" t="s">
        <v>65</v>
      </c>
      <c r="D140" s="8" t="s">
        <v>938</v>
      </c>
      <c r="E140" s="8" t="s">
        <v>7</v>
      </c>
      <c r="F140" s="8" t="s">
        <v>939</v>
      </c>
      <c r="G140" s="8" t="s">
        <v>141</v>
      </c>
      <c r="H140" s="8" t="s">
        <v>940</v>
      </c>
      <c r="I140" s="8" t="s">
        <v>941</v>
      </c>
      <c r="J140" s="8" t="s">
        <v>942</v>
      </c>
      <c r="K140" s="8" t="s">
        <v>72</v>
      </c>
      <c r="L140" s="8" t="s">
        <v>73</v>
      </c>
      <c r="M140" s="8" t="s">
        <v>74</v>
      </c>
      <c r="N140" s="8" t="s">
        <v>112</v>
      </c>
      <c r="O140" s="8" t="s">
        <v>700</v>
      </c>
      <c r="P140" s="14">
        <v>46193</v>
      </c>
      <c r="Q140" s="8" t="s">
        <v>943</v>
      </c>
      <c r="R140" s="8" t="s">
        <v>944</v>
      </c>
      <c r="S140" s="8" t="s">
        <v>941</v>
      </c>
      <c r="T140" s="13">
        <v>5</v>
      </c>
      <c r="U140" s="8" t="s">
        <v>703</v>
      </c>
      <c r="V140" s="8" t="s">
        <v>704</v>
      </c>
      <c r="W140" s="8" t="s">
        <v>705</v>
      </c>
      <c r="X140" s="8" t="s">
        <v>706</v>
      </c>
      <c r="Y140" s="8" t="s">
        <v>837</v>
      </c>
      <c r="Z140" s="8"/>
    </row>
    <row r="141" spans="1:26" ht="31.25" customHeight="1">
      <c r="A141" s="13">
        <v>137</v>
      </c>
      <c r="B141" s="8" t="s">
        <v>64</v>
      </c>
      <c r="C141" s="8" t="s">
        <v>132</v>
      </c>
      <c r="D141" s="8" t="s">
        <v>646</v>
      </c>
      <c r="E141" s="8" t="s">
        <v>15</v>
      </c>
      <c r="F141" s="8" t="s">
        <v>945</v>
      </c>
      <c r="G141" s="8" t="s">
        <v>946</v>
      </c>
      <c r="H141" s="8" t="s">
        <v>947</v>
      </c>
      <c r="I141" s="8" t="s">
        <v>948</v>
      </c>
      <c r="J141" s="8"/>
      <c r="K141" s="8" t="s">
        <v>72</v>
      </c>
      <c r="L141" s="8" t="s">
        <v>949</v>
      </c>
      <c r="M141" s="8" t="s">
        <v>74</v>
      </c>
      <c r="N141" s="8" t="s">
        <v>75</v>
      </c>
      <c r="O141" s="8" t="s">
        <v>700</v>
      </c>
      <c r="P141" s="14">
        <v>46193</v>
      </c>
      <c r="Q141" s="8" t="s">
        <v>950</v>
      </c>
      <c r="R141" s="8" t="s">
        <v>951</v>
      </c>
      <c r="S141" s="8" t="s">
        <v>948</v>
      </c>
      <c r="T141" s="13">
        <v>4</v>
      </c>
      <c r="U141" s="8" t="s">
        <v>731</v>
      </c>
      <c r="V141" s="8" t="s">
        <v>704</v>
      </c>
      <c r="W141" s="8" t="s">
        <v>705</v>
      </c>
      <c r="X141" s="8" t="s">
        <v>706</v>
      </c>
      <c r="Y141" s="8" t="s">
        <v>952</v>
      </c>
      <c r="Z141" s="8"/>
    </row>
    <row r="142" spans="1:26" ht="31.25" customHeight="1">
      <c r="A142" s="13">
        <v>138</v>
      </c>
      <c r="B142" s="8" t="s">
        <v>64</v>
      </c>
      <c r="C142" s="8" t="s">
        <v>65</v>
      </c>
      <c r="D142" s="8" t="s">
        <v>953</v>
      </c>
      <c r="E142" s="8" t="s">
        <v>7</v>
      </c>
      <c r="F142" s="8" t="s">
        <v>954</v>
      </c>
      <c r="G142" s="8" t="s">
        <v>141</v>
      </c>
      <c r="H142" s="8" t="s">
        <v>955</v>
      </c>
      <c r="I142" s="8" t="s">
        <v>956</v>
      </c>
      <c r="J142" s="8" t="s">
        <v>957</v>
      </c>
      <c r="K142" s="8" t="s">
        <v>72</v>
      </c>
      <c r="L142" s="8" t="s">
        <v>813</v>
      </c>
      <c r="M142" s="8" t="s">
        <v>74</v>
      </c>
      <c r="N142" s="8" t="s">
        <v>112</v>
      </c>
      <c r="O142" s="8" t="s">
        <v>700</v>
      </c>
      <c r="P142" s="14">
        <v>46193</v>
      </c>
      <c r="Q142" s="8" t="s">
        <v>958</v>
      </c>
      <c r="R142" s="8" t="s">
        <v>959</v>
      </c>
      <c r="S142" s="8" t="s">
        <v>960</v>
      </c>
      <c r="T142" s="13">
        <v>5</v>
      </c>
      <c r="U142" s="8" t="s">
        <v>703</v>
      </c>
      <c r="V142" s="8" t="s">
        <v>704</v>
      </c>
      <c r="W142" s="8" t="s">
        <v>705</v>
      </c>
      <c r="X142" s="8" t="s">
        <v>706</v>
      </c>
      <c r="Y142" s="8" t="s">
        <v>961</v>
      </c>
      <c r="Z142" s="8" t="s">
        <v>962</v>
      </c>
    </row>
    <row r="143" spans="1:26" ht="31.25" customHeight="1">
      <c r="A143" s="13">
        <v>139</v>
      </c>
      <c r="B143" s="8" t="s">
        <v>64</v>
      </c>
      <c r="C143" s="8" t="s">
        <v>132</v>
      </c>
      <c r="D143" s="8" t="s">
        <v>963</v>
      </c>
      <c r="E143" s="8" t="s">
        <v>7</v>
      </c>
      <c r="F143" s="8" t="s">
        <v>964</v>
      </c>
      <c r="G143" s="8" t="s">
        <v>176</v>
      </c>
      <c r="H143" s="8" t="s">
        <v>965</v>
      </c>
      <c r="I143" s="8" t="s">
        <v>966</v>
      </c>
      <c r="J143" s="8"/>
      <c r="K143" s="8" t="s">
        <v>72</v>
      </c>
      <c r="L143" s="8" t="s">
        <v>84</v>
      </c>
      <c r="M143" s="8" t="s">
        <v>74</v>
      </c>
      <c r="N143" s="8" t="s">
        <v>112</v>
      </c>
      <c r="O143" s="8" t="s">
        <v>700</v>
      </c>
      <c r="P143" s="14">
        <v>46193</v>
      </c>
      <c r="Q143" s="8" t="s">
        <v>967</v>
      </c>
      <c r="R143" s="8" t="s">
        <v>968</v>
      </c>
      <c r="S143" s="8" t="s">
        <v>966</v>
      </c>
      <c r="T143" s="13">
        <v>4</v>
      </c>
      <c r="U143" s="8" t="s">
        <v>731</v>
      </c>
      <c r="V143" s="8" t="s">
        <v>704</v>
      </c>
      <c r="W143" s="8" t="s">
        <v>732</v>
      </c>
      <c r="X143" s="8" t="s">
        <v>706</v>
      </c>
      <c r="Y143" s="8" t="s">
        <v>733</v>
      </c>
      <c r="Z143" s="8"/>
    </row>
    <row r="144" spans="1:26" ht="31.25" customHeight="1">
      <c r="A144" s="13">
        <v>140</v>
      </c>
      <c r="B144" s="8" t="s">
        <v>64</v>
      </c>
      <c r="C144" s="8" t="s">
        <v>65</v>
      </c>
      <c r="D144" s="8" t="s">
        <v>969</v>
      </c>
      <c r="E144" s="8" t="s">
        <v>7</v>
      </c>
      <c r="F144" s="8" t="s">
        <v>970</v>
      </c>
      <c r="G144" s="8" t="s">
        <v>710</v>
      </c>
      <c r="H144" s="8" t="s">
        <v>971</v>
      </c>
      <c r="I144" s="8" t="s">
        <v>972</v>
      </c>
      <c r="J144" s="8"/>
      <c r="K144" s="8" t="s">
        <v>72</v>
      </c>
      <c r="L144" s="8" t="s">
        <v>84</v>
      </c>
      <c r="M144" s="8" t="s">
        <v>74</v>
      </c>
      <c r="N144" s="8" t="s">
        <v>112</v>
      </c>
      <c r="O144" s="8" t="s">
        <v>700</v>
      </c>
      <c r="P144" s="14">
        <v>46193</v>
      </c>
      <c r="Q144" s="8" t="s">
        <v>713</v>
      </c>
      <c r="R144" s="8" t="s">
        <v>973</v>
      </c>
      <c r="S144" s="8" t="s">
        <v>972</v>
      </c>
      <c r="T144" s="13">
        <v>5</v>
      </c>
      <c r="U144" s="8" t="s">
        <v>703</v>
      </c>
      <c r="V144" s="8" t="s">
        <v>704</v>
      </c>
      <c r="W144" s="8" t="s">
        <v>705</v>
      </c>
      <c r="X144" s="8" t="s">
        <v>706</v>
      </c>
      <c r="Y144" s="8" t="s">
        <v>746</v>
      </c>
      <c r="Z144" s="8"/>
    </row>
    <row r="145" spans="1:26" ht="31.25" customHeight="1">
      <c r="A145" s="13">
        <v>141</v>
      </c>
      <c r="B145" s="8" t="s">
        <v>64</v>
      </c>
      <c r="C145" s="8" t="s">
        <v>132</v>
      </c>
      <c r="D145" s="8" t="s">
        <v>974</v>
      </c>
      <c r="E145" s="8" t="s">
        <v>15</v>
      </c>
      <c r="F145" s="8" t="s">
        <v>975</v>
      </c>
      <c r="G145" s="8" t="s">
        <v>263</v>
      </c>
      <c r="H145" s="8" t="s">
        <v>796</v>
      </c>
      <c r="I145" s="8" t="s">
        <v>976</v>
      </c>
      <c r="J145" s="8" t="s">
        <v>977</v>
      </c>
      <c r="K145" s="8" t="s">
        <v>72</v>
      </c>
      <c r="L145" s="8" t="s">
        <v>73</v>
      </c>
      <c r="M145" s="8" t="s">
        <v>74</v>
      </c>
      <c r="N145" s="8" t="s">
        <v>112</v>
      </c>
      <c r="O145" s="8" t="s">
        <v>700</v>
      </c>
      <c r="P145" s="14">
        <v>46193</v>
      </c>
      <c r="Q145" s="8" t="s">
        <v>978</v>
      </c>
      <c r="R145" s="8" t="s">
        <v>979</v>
      </c>
      <c r="S145" s="8" t="s">
        <v>976</v>
      </c>
      <c r="T145" s="13">
        <v>4</v>
      </c>
      <c r="U145" s="8" t="s">
        <v>731</v>
      </c>
      <c r="V145" s="8" t="s">
        <v>704</v>
      </c>
      <c r="W145" s="8" t="s">
        <v>705</v>
      </c>
      <c r="X145" s="8" t="s">
        <v>706</v>
      </c>
      <c r="Y145" s="8" t="s">
        <v>980</v>
      </c>
      <c r="Z145" s="8"/>
    </row>
    <row r="146" spans="1:26" ht="31.25" hidden="1" customHeight="1">
      <c r="A146" s="13">
        <v>142</v>
      </c>
      <c r="B146" s="8" t="s">
        <v>739</v>
      </c>
      <c r="C146" s="8" t="s">
        <v>132</v>
      </c>
      <c r="D146" s="8" t="s">
        <v>981</v>
      </c>
      <c r="E146" s="8" t="s">
        <v>748</v>
      </c>
      <c r="F146" s="8" t="s">
        <v>982</v>
      </c>
      <c r="G146" s="8" t="s">
        <v>122</v>
      </c>
      <c r="H146" s="8" t="s">
        <v>218</v>
      </c>
      <c r="I146" s="8" t="s">
        <v>983</v>
      </c>
      <c r="J146" s="8" t="s">
        <v>984</v>
      </c>
      <c r="K146" s="8" t="s">
        <v>72</v>
      </c>
      <c r="L146" s="8" t="s">
        <v>73</v>
      </c>
      <c r="M146" s="8" t="s">
        <v>74</v>
      </c>
      <c r="N146" s="8" t="s">
        <v>112</v>
      </c>
      <c r="O146" s="8" t="s">
        <v>700</v>
      </c>
      <c r="P146" s="14">
        <v>46193</v>
      </c>
      <c r="Q146" s="8" t="s">
        <v>985</v>
      </c>
      <c r="R146" s="8" t="s">
        <v>986</v>
      </c>
      <c r="S146" s="8" t="s">
        <v>983</v>
      </c>
      <c r="T146" s="13">
        <v>4</v>
      </c>
      <c r="U146" s="8" t="s">
        <v>731</v>
      </c>
      <c r="V146" s="8" t="s">
        <v>745</v>
      </c>
      <c r="W146" s="8" t="s">
        <v>705</v>
      </c>
      <c r="X146" s="8" t="s">
        <v>706</v>
      </c>
      <c r="Y146" s="8" t="s">
        <v>837</v>
      </c>
      <c r="Z146" s="8"/>
    </row>
    <row r="147" spans="1:26" ht="31.25" hidden="1" customHeight="1">
      <c r="A147" s="13">
        <v>143</v>
      </c>
      <c r="B147" s="8" t="s">
        <v>739</v>
      </c>
      <c r="C147" s="8" t="s">
        <v>132</v>
      </c>
      <c r="D147" s="8" t="s">
        <v>987</v>
      </c>
      <c r="E147" s="8" t="s">
        <v>748</v>
      </c>
      <c r="F147" s="8" t="s">
        <v>988</v>
      </c>
      <c r="G147" s="8" t="s">
        <v>989</v>
      </c>
      <c r="H147" s="8" t="s">
        <v>990</v>
      </c>
      <c r="I147" s="8" t="s">
        <v>991</v>
      </c>
      <c r="J147" s="8" t="s">
        <v>992</v>
      </c>
      <c r="K147" s="8" t="s">
        <v>72</v>
      </c>
      <c r="L147" s="8" t="s">
        <v>993</v>
      </c>
      <c r="M147" s="8" t="s">
        <v>74</v>
      </c>
      <c r="N147" s="8" t="s">
        <v>112</v>
      </c>
      <c r="O147" s="8" t="s">
        <v>700</v>
      </c>
      <c r="P147" s="14">
        <v>46193</v>
      </c>
      <c r="Q147" s="8" t="s">
        <v>994</v>
      </c>
      <c r="R147" s="8" t="s">
        <v>995</v>
      </c>
      <c r="S147" s="8" t="s">
        <v>991</v>
      </c>
      <c r="T147" s="13">
        <v>4</v>
      </c>
      <c r="U147" s="8" t="s">
        <v>731</v>
      </c>
      <c r="V147" s="8" t="s">
        <v>745</v>
      </c>
      <c r="W147" s="8" t="s">
        <v>705</v>
      </c>
      <c r="X147" s="8" t="s">
        <v>706</v>
      </c>
      <c r="Y147" s="8" t="s">
        <v>996</v>
      </c>
      <c r="Z147" s="8"/>
    </row>
    <row r="148" spans="1:26" ht="31.25" hidden="1" customHeight="1">
      <c r="A148" s="13">
        <v>144</v>
      </c>
      <c r="B148" s="8" t="s">
        <v>739</v>
      </c>
      <c r="C148" s="8" t="s">
        <v>184</v>
      </c>
      <c r="D148" s="8" t="s">
        <v>997</v>
      </c>
      <c r="E148" s="8" t="s">
        <v>748</v>
      </c>
      <c r="F148" s="8" t="s">
        <v>998</v>
      </c>
      <c r="G148" s="8" t="s">
        <v>257</v>
      </c>
      <c r="H148" s="8" t="s">
        <v>999</v>
      </c>
      <c r="I148" s="8" t="s">
        <v>1000</v>
      </c>
      <c r="J148" s="8" t="s">
        <v>1001</v>
      </c>
      <c r="K148" s="8" t="s">
        <v>1002</v>
      </c>
      <c r="L148" s="8" t="s">
        <v>73</v>
      </c>
      <c r="M148" s="8" t="s">
        <v>74</v>
      </c>
      <c r="N148" s="8" t="s">
        <v>112</v>
      </c>
      <c r="O148" s="8" t="s">
        <v>700</v>
      </c>
      <c r="P148" s="14">
        <v>46193</v>
      </c>
      <c r="Q148" s="8" t="s">
        <v>1003</v>
      </c>
      <c r="R148" s="8" t="s">
        <v>1004</v>
      </c>
      <c r="S148" s="8" t="s">
        <v>1001</v>
      </c>
      <c r="T148" s="13">
        <v>3</v>
      </c>
      <c r="U148" s="8" t="s">
        <v>754</v>
      </c>
      <c r="V148" s="8" t="s">
        <v>745</v>
      </c>
      <c r="W148" s="8" t="s">
        <v>705</v>
      </c>
      <c r="X148" s="8" t="s">
        <v>706</v>
      </c>
      <c r="Y148" s="8" t="s">
        <v>1005</v>
      </c>
      <c r="Z148" s="8"/>
    </row>
    <row r="149" spans="1:26" ht="31.25" hidden="1" customHeight="1">
      <c r="A149" s="13">
        <v>145</v>
      </c>
      <c r="B149" s="8" t="s">
        <v>739</v>
      </c>
      <c r="C149" s="8" t="s">
        <v>132</v>
      </c>
      <c r="D149" s="8" t="s">
        <v>1006</v>
      </c>
      <c r="E149" s="8" t="s">
        <v>748</v>
      </c>
      <c r="F149" s="8" t="s">
        <v>1007</v>
      </c>
      <c r="G149" s="8" t="s">
        <v>257</v>
      </c>
      <c r="H149" s="8" t="s">
        <v>1008</v>
      </c>
      <c r="I149" s="8" t="s">
        <v>1009</v>
      </c>
      <c r="J149" s="8" t="s">
        <v>1010</v>
      </c>
      <c r="K149" s="8" t="s">
        <v>1011</v>
      </c>
      <c r="L149" s="8" t="s">
        <v>73</v>
      </c>
      <c r="M149" s="8" t="s">
        <v>74</v>
      </c>
      <c r="N149" s="8" t="s">
        <v>112</v>
      </c>
      <c r="O149" s="8" t="s">
        <v>700</v>
      </c>
      <c r="P149" s="14">
        <v>46193</v>
      </c>
      <c r="Q149" s="8" t="s">
        <v>1012</v>
      </c>
      <c r="R149" s="8" t="s">
        <v>1013</v>
      </c>
      <c r="S149" s="8" t="s">
        <v>1009</v>
      </c>
      <c r="T149" s="13">
        <v>3</v>
      </c>
      <c r="U149" s="8" t="s">
        <v>754</v>
      </c>
      <c r="V149" s="8" t="s">
        <v>745</v>
      </c>
      <c r="W149" s="8" t="s">
        <v>705</v>
      </c>
      <c r="X149" s="8" t="s">
        <v>706</v>
      </c>
      <c r="Y149" s="8" t="s">
        <v>1014</v>
      </c>
      <c r="Z149" s="8"/>
    </row>
    <row r="150" spans="1:26" ht="31.25" hidden="1" customHeight="1">
      <c r="A150" s="13">
        <v>146</v>
      </c>
      <c r="B150" s="8" t="s">
        <v>739</v>
      </c>
      <c r="C150" s="8" t="s">
        <v>184</v>
      </c>
      <c r="D150" s="8" t="s">
        <v>1015</v>
      </c>
      <c r="E150" s="8" t="s">
        <v>748</v>
      </c>
      <c r="F150" s="8" t="s">
        <v>1016</v>
      </c>
      <c r="G150" s="8" t="s">
        <v>100</v>
      </c>
      <c r="H150" s="8" t="s">
        <v>1017</v>
      </c>
      <c r="I150" s="8" t="s">
        <v>1018</v>
      </c>
      <c r="J150" s="8" t="s">
        <v>1019</v>
      </c>
      <c r="K150" s="8" t="s">
        <v>72</v>
      </c>
      <c r="L150" s="8" t="s">
        <v>73</v>
      </c>
      <c r="M150" s="8" t="s">
        <v>74</v>
      </c>
      <c r="N150" s="8" t="s">
        <v>112</v>
      </c>
      <c r="O150" s="8" t="s">
        <v>700</v>
      </c>
      <c r="P150" s="14">
        <v>46193</v>
      </c>
      <c r="Q150" s="8" t="s">
        <v>1020</v>
      </c>
      <c r="R150" s="8" t="s">
        <v>1021</v>
      </c>
      <c r="S150" s="8" t="s">
        <v>1018</v>
      </c>
      <c r="T150" s="13">
        <v>3</v>
      </c>
      <c r="U150" s="8" t="s">
        <v>754</v>
      </c>
      <c r="V150" s="8" t="s">
        <v>745</v>
      </c>
      <c r="W150" s="8" t="s">
        <v>705</v>
      </c>
      <c r="X150" s="8" t="s">
        <v>706</v>
      </c>
      <c r="Y150" s="8" t="s">
        <v>1022</v>
      </c>
      <c r="Z150" s="8"/>
    </row>
    <row r="151" spans="1:26" ht="31.25" hidden="1" customHeight="1">
      <c r="A151" s="13">
        <v>147</v>
      </c>
      <c r="B151" s="8" t="s">
        <v>739</v>
      </c>
      <c r="C151" s="8" t="s">
        <v>132</v>
      </c>
      <c r="D151" s="8" t="s">
        <v>1023</v>
      </c>
      <c r="E151" s="8" t="s">
        <v>748</v>
      </c>
      <c r="F151" s="8" t="s">
        <v>1024</v>
      </c>
      <c r="G151" s="8" t="s">
        <v>81</v>
      </c>
      <c r="H151" s="8" t="s">
        <v>1025</v>
      </c>
      <c r="I151" s="8" t="s">
        <v>1026</v>
      </c>
      <c r="J151" s="8" t="s">
        <v>1027</v>
      </c>
      <c r="K151" s="8" t="s">
        <v>72</v>
      </c>
      <c r="L151" s="8" t="s">
        <v>73</v>
      </c>
      <c r="M151" s="8" t="s">
        <v>74</v>
      </c>
      <c r="N151" s="8" t="s">
        <v>112</v>
      </c>
      <c r="O151" s="8" t="s">
        <v>700</v>
      </c>
      <c r="P151" s="14">
        <v>46193</v>
      </c>
      <c r="Q151" s="8" t="s">
        <v>1028</v>
      </c>
      <c r="R151" s="8" t="s">
        <v>1029</v>
      </c>
      <c r="S151" s="8" t="s">
        <v>1026</v>
      </c>
      <c r="T151" s="13">
        <v>4</v>
      </c>
      <c r="U151" s="8" t="s">
        <v>731</v>
      </c>
      <c r="V151" s="8" t="s">
        <v>745</v>
      </c>
      <c r="W151" s="8" t="s">
        <v>705</v>
      </c>
      <c r="X151" s="8" t="s">
        <v>706</v>
      </c>
      <c r="Y151" s="8" t="s">
        <v>1014</v>
      </c>
      <c r="Z151" s="8"/>
    </row>
    <row r="152" spans="1:26" ht="31.25" hidden="1" customHeight="1">
      <c r="A152" s="13">
        <v>148</v>
      </c>
      <c r="B152" s="8" t="s">
        <v>739</v>
      </c>
      <c r="C152" s="8" t="s">
        <v>132</v>
      </c>
      <c r="D152" s="8" t="s">
        <v>1030</v>
      </c>
      <c r="E152" s="8" t="s">
        <v>748</v>
      </c>
      <c r="F152" s="8" t="s">
        <v>1031</v>
      </c>
      <c r="G152" s="8" t="s">
        <v>122</v>
      </c>
      <c r="H152" s="8" t="s">
        <v>218</v>
      </c>
      <c r="I152" s="8" t="s">
        <v>1032</v>
      </c>
      <c r="J152" s="8" t="s">
        <v>1033</v>
      </c>
      <c r="K152" s="8" t="s">
        <v>72</v>
      </c>
      <c r="L152" s="8" t="s">
        <v>73</v>
      </c>
      <c r="M152" s="8" t="s">
        <v>74</v>
      </c>
      <c r="N152" s="8" t="s">
        <v>112</v>
      </c>
      <c r="O152" s="8" t="s">
        <v>700</v>
      </c>
      <c r="P152" s="14">
        <v>46193</v>
      </c>
      <c r="Q152" s="8" t="s">
        <v>1034</v>
      </c>
      <c r="R152" s="8" t="s">
        <v>1035</v>
      </c>
      <c r="S152" s="8" t="s">
        <v>1032</v>
      </c>
      <c r="T152" s="13">
        <v>4</v>
      </c>
      <c r="U152" s="8" t="s">
        <v>731</v>
      </c>
      <c r="V152" s="8" t="s">
        <v>745</v>
      </c>
      <c r="W152" s="8" t="s">
        <v>705</v>
      </c>
      <c r="X152" s="8" t="s">
        <v>706</v>
      </c>
      <c r="Y152" s="8" t="s">
        <v>1036</v>
      </c>
      <c r="Z152" s="8"/>
    </row>
    <row r="153" spans="1:26" ht="31.25" customHeight="1">
      <c r="A153" s="13">
        <v>149</v>
      </c>
      <c r="B153" s="8" t="s">
        <v>64</v>
      </c>
      <c r="C153" s="8" t="s">
        <v>65</v>
      </c>
      <c r="D153" s="8" t="s">
        <v>1037</v>
      </c>
      <c r="E153" s="8" t="s">
        <v>7</v>
      </c>
      <c r="F153" s="8" t="s">
        <v>1038</v>
      </c>
      <c r="G153" s="8" t="s">
        <v>487</v>
      </c>
      <c r="H153" s="8" t="s">
        <v>488</v>
      </c>
      <c r="I153" s="8" t="s">
        <v>1039</v>
      </c>
      <c r="J153" s="8"/>
      <c r="K153" s="8" t="s">
        <v>72</v>
      </c>
      <c r="L153" s="8" t="s">
        <v>84</v>
      </c>
      <c r="M153" s="8" t="s">
        <v>74</v>
      </c>
      <c r="N153" s="8" t="s">
        <v>112</v>
      </c>
      <c r="O153" s="8" t="s">
        <v>700</v>
      </c>
      <c r="P153" s="14">
        <v>46193</v>
      </c>
      <c r="Q153" s="8" t="s">
        <v>1040</v>
      </c>
      <c r="R153" s="8" t="s">
        <v>1041</v>
      </c>
      <c r="S153" s="8" t="s">
        <v>1039</v>
      </c>
      <c r="T153" s="13">
        <v>5</v>
      </c>
      <c r="U153" s="8" t="s">
        <v>703</v>
      </c>
      <c r="V153" s="8" t="s">
        <v>704</v>
      </c>
      <c r="W153" s="8" t="s">
        <v>732</v>
      </c>
      <c r="X153" s="8" t="s">
        <v>706</v>
      </c>
      <c r="Y153" s="8" t="s">
        <v>1042</v>
      </c>
      <c r="Z153" s="8"/>
    </row>
    <row r="154" spans="1:26" ht="31.25" customHeight="1">
      <c r="A154" s="13">
        <v>150</v>
      </c>
      <c r="B154" s="8" t="s">
        <v>64</v>
      </c>
      <c r="C154" s="8" t="s">
        <v>65</v>
      </c>
      <c r="D154" s="8" t="s">
        <v>1043</v>
      </c>
      <c r="E154" s="8" t="s">
        <v>7</v>
      </c>
      <c r="F154" s="8" t="s">
        <v>1044</v>
      </c>
      <c r="G154" s="8" t="s">
        <v>128</v>
      </c>
      <c r="H154" s="8" t="s">
        <v>1045</v>
      </c>
      <c r="I154" s="8" t="s">
        <v>1046</v>
      </c>
      <c r="J154" s="8"/>
      <c r="K154" s="8" t="s">
        <v>72</v>
      </c>
      <c r="L154" s="8" t="s">
        <v>84</v>
      </c>
      <c r="M154" s="8" t="s">
        <v>74</v>
      </c>
      <c r="N154" s="8" t="s">
        <v>112</v>
      </c>
      <c r="O154" s="8" t="s">
        <v>700</v>
      </c>
      <c r="P154" s="14">
        <v>46193</v>
      </c>
      <c r="Q154" s="8" t="s">
        <v>713</v>
      </c>
      <c r="R154" s="8" t="s">
        <v>1047</v>
      </c>
      <c r="S154" s="8" t="s">
        <v>1046</v>
      </c>
      <c r="T154" s="13">
        <v>5</v>
      </c>
      <c r="U154" s="8" t="s">
        <v>703</v>
      </c>
      <c r="V154" s="8" t="s">
        <v>704</v>
      </c>
      <c r="W154" s="8" t="s">
        <v>732</v>
      </c>
      <c r="X154" s="8" t="s">
        <v>706</v>
      </c>
      <c r="Y154" s="8" t="s">
        <v>733</v>
      </c>
      <c r="Z154" s="8"/>
    </row>
    <row r="155" spans="1:26" ht="31.25" customHeight="1">
      <c r="A155" s="13">
        <v>151</v>
      </c>
      <c r="B155" s="8" t="s">
        <v>64</v>
      </c>
      <c r="C155" s="8" t="s">
        <v>65</v>
      </c>
      <c r="D155" s="8" t="s">
        <v>1048</v>
      </c>
      <c r="E155" s="8" t="s">
        <v>11</v>
      </c>
      <c r="F155" s="8" t="s">
        <v>1049</v>
      </c>
      <c r="G155" s="8" t="s">
        <v>1050</v>
      </c>
      <c r="H155" s="8" t="s">
        <v>1051</v>
      </c>
      <c r="I155" s="8" t="s">
        <v>1052</v>
      </c>
      <c r="J155" s="8" t="s">
        <v>1053</v>
      </c>
      <c r="K155" s="8" t="s">
        <v>72</v>
      </c>
      <c r="L155" s="8" t="s">
        <v>73</v>
      </c>
      <c r="M155" s="8" t="s">
        <v>74</v>
      </c>
      <c r="N155" s="8" t="s">
        <v>112</v>
      </c>
      <c r="O155" s="8" t="s">
        <v>700</v>
      </c>
      <c r="P155" s="14">
        <v>46193</v>
      </c>
      <c r="Q155" s="8" t="s">
        <v>1054</v>
      </c>
      <c r="R155" s="8" t="s">
        <v>1055</v>
      </c>
      <c r="S155" s="8" t="s">
        <v>1053</v>
      </c>
      <c r="T155" s="13">
        <v>5</v>
      </c>
      <c r="U155" s="8" t="s">
        <v>703</v>
      </c>
      <c r="V155" s="8" t="s">
        <v>886</v>
      </c>
      <c r="W155" s="8" t="s">
        <v>705</v>
      </c>
      <c r="X155" s="8" t="s">
        <v>706</v>
      </c>
      <c r="Y155" s="8" t="s">
        <v>1056</v>
      </c>
      <c r="Z155" s="8"/>
    </row>
    <row r="156" spans="1:26" ht="31.25" customHeight="1">
      <c r="A156" s="13">
        <v>152</v>
      </c>
      <c r="B156" s="8" t="s">
        <v>64</v>
      </c>
      <c r="C156" s="8" t="s">
        <v>65</v>
      </c>
      <c r="D156" s="8" t="s">
        <v>1057</v>
      </c>
      <c r="E156" s="8" t="s">
        <v>11</v>
      </c>
      <c r="F156" s="8" t="s">
        <v>1058</v>
      </c>
      <c r="G156" s="8" t="s">
        <v>128</v>
      </c>
      <c r="H156" s="8" t="s">
        <v>765</v>
      </c>
      <c r="I156" s="8" t="s">
        <v>1059</v>
      </c>
      <c r="J156" s="8" t="s">
        <v>1060</v>
      </c>
      <c r="K156" s="8" t="s">
        <v>72</v>
      </c>
      <c r="L156" s="8" t="s">
        <v>73</v>
      </c>
      <c r="M156" s="8" t="s">
        <v>74</v>
      </c>
      <c r="N156" s="8" t="s">
        <v>112</v>
      </c>
      <c r="O156" s="8" t="s">
        <v>700</v>
      </c>
      <c r="P156" s="14">
        <v>46193</v>
      </c>
      <c r="Q156" s="8" t="s">
        <v>1061</v>
      </c>
      <c r="R156" s="8" t="s">
        <v>1062</v>
      </c>
      <c r="S156" s="8" t="s">
        <v>1059</v>
      </c>
      <c r="T156" s="13">
        <v>5</v>
      </c>
      <c r="U156" s="8" t="s">
        <v>703</v>
      </c>
      <c r="V156" s="8" t="s">
        <v>886</v>
      </c>
      <c r="W156" s="8" t="s">
        <v>705</v>
      </c>
      <c r="X156" s="8" t="s">
        <v>706</v>
      </c>
      <c r="Y156" s="8" t="s">
        <v>1063</v>
      </c>
      <c r="Z156" s="8"/>
    </row>
    <row r="157" spans="1:26" ht="31.25" hidden="1" customHeight="1">
      <c r="A157" s="13">
        <v>153</v>
      </c>
      <c r="B157" s="8" t="s">
        <v>739</v>
      </c>
      <c r="C157" s="8" t="s">
        <v>132</v>
      </c>
      <c r="D157" s="8" t="s">
        <v>1064</v>
      </c>
      <c r="E157" s="8" t="s">
        <v>740</v>
      </c>
      <c r="F157" s="8" t="s">
        <v>1065</v>
      </c>
      <c r="G157" s="8" t="s">
        <v>1066</v>
      </c>
      <c r="H157" s="8" t="s">
        <v>1067</v>
      </c>
      <c r="I157" s="8" t="s">
        <v>1068</v>
      </c>
      <c r="J157" s="8"/>
      <c r="K157" s="8" t="s">
        <v>72</v>
      </c>
      <c r="L157" s="8" t="s">
        <v>84</v>
      </c>
      <c r="M157" s="8" t="s">
        <v>74</v>
      </c>
      <c r="N157" s="8" t="s">
        <v>112</v>
      </c>
      <c r="O157" s="8" t="s">
        <v>700</v>
      </c>
      <c r="P157" s="14">
        <v>46193</v>
      </c>
      <c r="Q157" s="8" t="s">
        <v>1069</v>
      </c>
      <c r="R157" s="8" t="s">
        <v>1070</v>
      </c>
      <c r="S157" s="8" t="s">
        <v>1068</v>
      </c>
      <c r="T157" s="13">
        <v>4</v>
      </c>
      <c r="U157" s="8" t="s">
        <v>731</v>
      </c>
      <c r="V157" s="8" t="s">
        <v>745</v>
      </c>
      <c r="W157" s="8" t="s">
        <v>732</v>
      </c>
      <c r="X157" s="8" t="s">
        <v>706</v>
      </c>
      <c r="Y157" s="8" t="s">
        <v>733</v>
      </c>
      <c r="Z157" s="8"/>
    </row>
    <row r="158" spans="1:26" ht="31.25" customHeight="1">
      <c r="A158" s="13">
        <v>154</v>
      </c>
      <c r="B158" s="8" t="s">
        <v>64</v>
      </c>
      <c r="C158" s="8" t="s">
        <v>65</v>
      </c>
      <c r="D158" s="8" t="s">
        <v>1071</v>
      </c>
      <c r="E158" s="8" t="s">
        <v>11</v>
      </c>
      <c r="F158" s="8" t="s">
        <v>1072</v>
      </c>
      <c r="G158" s="8" t="s">
        <v>122</v>
      </c>
      <c r="H158" s="8" t="s">
        <v>1073</v>
      </c>
      <c r="I158" s="8" t="s">
        <v>1074</v>
      </c>
      <c r="J158" s="8" t="s">
        <v>1075</v>
      </c>
      <c r="K158" s="8" t="s">
        <v>72</v>
      </c>
      <c r="L158" s="8" t="s">
        <v>73</v>
      </c>
      <c r="M158" s="8" t="s">
        <v>74</v>
      </c>
      <c r="N158" s="8" t="s">
        <v>112</v>
      </c>
      <c r="O158" s="8" t="s">
        <v>700</v>
      </c>
      <c r="P158" s="14">
        <v>46193</v>
      </c>
      <c r="Q158" s="8" t="s">
        <v>1076</v>
      </c>
      <c r="R158" s="8" t="s">
        <v>1077</v>
      </c>
      <c r="S158" s="8" t="s">
        <v>1075</v>
      </c>
      <c r="T158" s="13">
        <v>5</v>
      </c>
      <c r="U158" s="8" t="s">
        <v>703</v>
      </c>
      <c r="V158" s="8" t="s">
        <v>886</v>
      </c>
      <c r="W158" s="8" t="s">
        <v>705</v>
      </c>
      <c r="X158" s="8" t="s">
        <v>706</v>
      </c>
      <c r="Y158" s="8" t="s">
        <v>1078</v>
      </c>
      <c r="Z158" s="8"/>
    </row>
    <row r="159" spans="1:26" ht="31.25" customHeight="1">
      <c r="A159" s="13">
        <v>155</v>
      </c>
      <c r="B159" s="8" t="s">
        <v>64</v>
      </c>
      <c r="C159" s="8" t="s">
        <v>65</v>
      </c>
      <c r="D159" s="8" t="s">
        <v>1079</v>
      </c>
      <c r="E159" s="8" t="s">
        <v>9</v>
      </c>
      <c r="F159" s="8" t="s">
        <v>1080</v>
      </c>
      <c r="G159" s="8" t="s">
        <v>122</v>
      </c>
      <c r="H159" s="8" t="s">
        <v>1081</v>
      </c>
      <c r="I159" s="8" t="s">
        <v>1082</v>
      </c>
      <c r="J159" s="8"/>
      <c r="K159" s="8" t="s">
        <v>72</v>
      </c>
      <c r="L159" s="8" t="s">
        <v>84</v>
      </c>
      <c r="M159" s="8" t="s">
        <v>74</v>
      </c>
      <c r="N159" s="8" t="s">
        <v>112</v>
      </c>
      <c r="O159" s="8" t="s">
        <v>700</v>
      </c>
      <c r="P159" s="14">
        <v>46193</v>
      </c>
      <c r="Q159" s="8" t="s">
        <v>1083</v>
      </c>
      <c r="R159" s="8" t="s">
        <v>1084</v>
      </c>
      <c r="S159" s="8" t="s">
        <v>1082</v>
      </c>
      <c r="T159" s="13">
        <v>5</v>
      </c>
      <c r="U159" s="8" t="s">
        <v>703</v>
      </c>
      <c r="V159" s="8" t="s">
        <v>722</v>
      </c>
      <c r="W159" s="8" t="s">
        <v>705</v>
      </c>
      <c r="X159" s="8" t="s">
        <v>706</v>
      </c>
      <c r="Y159" s="8" t="s">
        <v>1085</v>
      </c>
      <c r="Z159" s="8"/>
    </row>
    <row r="160" spans="1:26">
      <c r="A160">
        <v>156</v>
      </c>
      <c r="D160" t="s">
        <v>1125</v>
      </c>
    </row>
    <row r="161" spans="1:4" ht="27">
      <c r="A161">
        <v>157</v>
      </c>
      <c r="D161" s="17" t="s">
        <v>1126</v>
      </c>
    </row>
  </sheetData>
  <mergeCells count="2">
    <mergeCell ref="A1:S1"/>
    <mergeCell ref="A2:S2"/>
  </mergeCells>
  <conditionalFormatting sqref="B5:B161">
    <cfRule type="expression" dxfId="12" priority="12">
      <formula>B5="Include"</formula>
    </cfRule>
    <cfRule type="expression" dxfId="11" priority="13">
      <formula>B5="Monitor"</formula>
    </cfRule>
    <cfRule type="expression" dxfId="10" priority="14">
      <formula>B5="Exclude"</formula>
    </cfRule>
  </conditionalFormatting>
  <conditionalFormatting sqref="C5:C161">
    <cfRule type="expression" dxfId="9" priority="15">
      <formula>C5="P1"</formula>
    </cfRule>
    <cfRule type="expression" dxfId="8" priority="16">
      <formula>C5="P2"</formula>
    </cfRule>
    <cfRule type="expression" dxfId="7" priority="17">
      <formula>C5="P3"</formula>
    </cfRule>
  </conditionalFormatting>
  <conditionalFormatting sqref="L5:L161">
    <cfRule type="expression" dxfId="6" priority="19">
      <formula>L5="Official careers page found"</formula>
    </cfRule>
  </conditionalFormatting>
  <conditionalFormatting sqref="O5:O161">
    <cfRule type="expression" dxfId="5" priority="18">
      <formula>O5="To verify"</formula>
    </cfRule>
  </conditionalFormatting>
  <conditionalFormatting sqref="T5:T159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U5:U159">
    <cfRule type="expression" dxfId="4" priority="10">
      <formula>$U5="Core fit"</formula>
    </cfRule>
    <cfRule type="expression" dxfId="3" priority="11">
      <formula>$U5="Selective fit"</formula>
    </cfRule>
  </conditionalFormatting>
  <dataValidations count="4">
    <dataValidation type="list" sqref="B5:B161" xr:uid="{00000000-0002-0000-0100-000000000000}">
      <formula1>"Include,Include - selective,Monitor,Exclude,Replace / legacy"</formula1>
    </dataValidation>
    <dataValidation type="list" sqref="C5:C161" xr:uid="{00000000-0002-0000-0100-000001000000}">
      <formula1>"P1,P2,P3"</formula1>
    </dataValidation>
    <dataValidation type="list" sqref="U5:U159" xr:uid="{00000000-0002-0000-0100-000002000000}">
      <formula1>"Core fit,Strong fit,Selective fit,Original list,Exclude"</formula1>
    </dataValidation>
    <dataValidation type="list" sqref="W5:W159" xr:uid="{00000000-0002-0000-0100-000003000000}">
      <formula1>"High,Medium,Low,Original"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3.5"/>
  <cols>
    <col min="1" max="1" width="32" customWidth="1"/>
    <col min="2" max="2" width="14" customWidth="1"/>
    <col min="3" max="3" width="62" customWidth="1"/>
    <col min="4" max="4" width="34" customWidth="1"/>
    <col min="5" max="5" width="38" customWidth="1"/>
  </cols>
  <sheetData>
    <row r="1" spans="1:5" ht="6.6" customHeight="1">
      <c r="A1" s="31" t="s">
        <v>598</v>
      </c>
      <c r="B1" s="23"/>
      <c r="C1" s="23"/>
      <c r="D1" s="23"/>
      <c r="E1" s="23"/>
    </row>
    <row r="3" spans="1:5" ht="13.9">
      <c r="A3" s="7" t="s">
        <v>599</v>
      </c>
      <c r="B3" s="7" t="s">
        <v>600</v>
      </c>
      <c r="C3" s="7" t="s">
        <v>601</v>
      </c>
      <c r="D3" s="7" t="s">
        <v>602</v>
      </c>
      <c r="E3" s="7" t="s">
        <v>63</v>
      </c>
    </row>
    <row r="4" spans="1:5" ht="27.4">
      <c r="A4" s="5" t="s">
        <v>603</v>
      </c>
      <c r="B4" s="5" t="s">
        <v>604</v>
      </c>
      <c r="C4" s="5" t="s">
        <v>605</v>
      </c>
      <c r="D4" s="5" t="s">
        <v>109</v>
      </c>
      <c r="E4" s="5" t="s">
        <v>111</v>
      </c>
    </row>
    <row r="5" spans="1:5" ht="13.9">
      <c r="A5" s="5" t="s">
        <v>606</v>
      </c>
      <c r="B5" s="5" t="s">
        <v>607</v>
      </c>
      <c r="C5" s="5" t="s">
        <v>608</v>
      </c>
      <c r="D5" s="5" t="s">
        <v>609</v>
      </c>
      <c r="E5" s="5"/>
    </row>
    <row r="6" spans="1:5" ht="13.9">
      <c r="A6" s="5" t="s">
        <v>610</v>
      </c>
      <c r="B6" s="5" t="s">
        <v>607</v>
      </c>
      <c r="C6" s="5" t="s">
        <v>611</v>
      </c>
      <c r="D6" s="5" t="s">
        <v>609</v>
      </c>
      <c r="E6" s="5"/>
    </row>
    <row r="7" spans="1:5" ht="27.4">
      <c r="A7" s="5" t="s">
        <v>612</v>
      </c>
      <c r="B7" s="5" t="s">
        <v>10</v>
      </c>
      <c r="C7" s="5" t="s">
        <v>613</v>
      </c>
      <c r="D7" s="5" t="s">
        <v>568</v>
      </c>
      <c r="E7" s="5" t="s">
        <v>572</v>
      </c>
    </row>
    <row r="8" spans="1:5" ht="27.4">
      <c r="A8" s="5" t="s">
        <v>614</v>
      </c>
      <c r="B8" s="5" t="s">
        <v>10</v>
      </c>
      <c r="C8" s="5" t="s">
        <v>615</v>
      </c>
      <c r="D8" s="5" t="s">
        <v>616</v>
      </c>
      <c r="E8" s="5" t="s">
        <v>617</v>
      </c>
    </row>
    <row r="9" spans="1:5" ht="27.4">
      <c r="A9" s="5" t="s">
        <v>618</v>
      </c>
      <c r="B9" s="5" t="s">
        <v>10</v>
      </c>
      <c r="C9" s="5" t="s">
        <v>619</v>
      </c>
      <c r="D9" s="5" t="s">
        <v>616</v>
      </c>
      <c r="E9" s="5" t="s">
        <v>620</v>
      </c>
    </row>
    <row r="10" spans="1:5" ht="27.4">
      <c r="A10" s="5" t="s">
        <v>621</v>
      </c>
      <c r="B10" s="5" t="s">
        <v>10</v>
      </c>
      <c r="C10" s="5" t="s">
        <v>622</v>
      </c>
      <c r="D10" s="5" t="s">
        <v>616</v>
      </c>
      <c r="E10" s="5" t="s">
        <v>623</v>
      </c>
    </row>
    <row r="11" spans="1:5" ht="27.4">
      <c r="A11" s="5" t="s">
        <v>624</v>
      </c>
      <c r="B11" s="5" t="s">
        <v>10</v>
      </c>
      <c r="C11" s="5" t="s">
        <v>625</v>
      </c>
      <c r="D11" s="5" t="s">
        <v>616</v>
      </c>
      <c r="E11" s="5" t="s">
        <v>626</v>
      </c>
    </row>
    <row r="12" spans="1:5" ht="27.4">
      <c r="A12" s="5" t="s">
        <v>627</v>
      </c>
      <c r="B12" s="5" t="s">
        <v>10</v>
      </c>
      <c r="C12" s="5" t="s">
        <v>628</v>
      </c>
      <c r="D12" s="5" t="s">
        <v>616</v>
      </c>
      <c r="E12" s="5" t="s">
        <v>629</v>
      </c>
    </row>
    <row r="13" spans="1:5" ht="27.4">
      <c r="A13" s="5" t="s">
        <v>630</v>
      </c>
      <c r="B13" s="5" t="s">
        <v>10</v>
      </c>
      <c r="C13" s="5" t="s">
        <v>631</v>
      </c>
      <c r="D13" s="5" t="s">
        <v>616</v>
      </c>
      <c r="E13" s="5" t="s">
        <v>632</v>
      </c>
    </row>
    <row r="14" spans="1:5" ht="27.4">
      <c r="A14" s="5" t="s">
        <v>633</v>
      </c>
      <c r="B14" s="5" t="s">
        <v>10</v>
      </c>
      <c r="C14" s="5" t="s">
        <v>634</v>
      </c>
      <c r="D14" s="5" t="s">
        <v>616</v>
      </c>
      <c r="E14" s="5" t="s">
        <v>635</v>
      </c>
    </row>
    <row r="15" spans="1:5" ht="27.4">
      <c r="A15" s="5" t="s">
        <v>636</v>
      </c>
      <c r="B15" s="5" t="s">
        <v>10</v>
      </c>
      <c r="C15" s="5" t="s">
        <v>637</v>
      </c>
      <c r="D15" s="5" t="s">
        <v>616</v>
      </c>
      <c r="E15" s="5"/>
    </row>
    <row r="16" spans="1:5" ht="13.9">
      <c r="A16" s="5" t="s">
        <v>638</v>
      </c>
      <c r="B16" s="5" t="s">
        <v>10</v>
      </c>
      <c r="C16" s="5" t="s">
        <v>639</v>
      </c>
      <c r="D16" s="5" t="s">
        <v>616</v>
      </c>
      <c r="E16" s="5" t="s">
        <v>640</v>
      </c>
    </row>
    <row r="17" spans="1:5" ht="27.4">
      <c r="A17" s="5" t="s">
        <v>641</v>
      </c>
      <c r="B17" s="5" t="s">
        <v>10</v>
      </c>
      <c r="C17" s="5" t="s">
        <v>642</v>
      </c>
      <c r="D17" s="5" t="s">
        <v>616</v>
      </c>
      <c r="E17" s="5"/>
    </row>
    <row r="18" spans="1:5" ht="27.4">
      <c r="A18" s="5" t="s">
        <v>643</v>
      </c>
      <c r="B18" s="5" t="s">
        <v>10</v>
      </c>
      <c r="C18" s="5" t="s">
        <v>644</v>
      </c>
      <c r="D18" s="5" t="s">
        <v>616</v>
      </c>
      <c r="E18" s="5" t="s">
        <v>645</v>
      </c>
    </row>
    <row r="19" spans="1:5" ht="27.4">
      <c r="A19" s="5" t="s">
        <v>646</v>
      </c>
      <c r="B19" s="5" t="s">
        <v>10</v>
      </c>
      <c r="C19" s="5" t="s">
        <v>647</v>
      </c>
      <c r="D19" s="5" t="s">
        <v>616</v>
      </c>
      <c r="E19" s="5" t="s">
        <v>648</v>
      </c>
    </row>
    <row r="20" spans="1:5" ht="27.4">
      <c r="A20" s="5" t="s">
        <v>649</v>
      </c>
      <c r="B20" s="5" t="s">
        <v>10</v>
      </c>
      <c r="C20" s="5" t="s">
        <v>650</v>
      </c>
      <c r="D20" s="5" t="s">
        <v>616</v>
      </c>
      <c r="E20" s="5" t="s">
        <v>651</v>
      </c>
    </row>
    <row r="21" spans="1:5" ht="13.9">
      <c r="A21" s="5" t="s">
        <v>652</v>
      </c>
      <c r="B21" s="5" t="s">
        <v>10</v>
      </c>
      <c r="C21" s="5" t="s">
        <v>653</v>
      </c>
      <c r="D21" s="5" t="s">
        <v>616</v>
      </c>
      <c r="E21" s="5" t="s">
        <v>654</v>
      </c>
    </row>
    <row r="22" spans="1:5" ht="13.9">
      <c r="A22" s="5" t="s">
        <v>655</v>
      </c>
      <c r="B22" s="5" t="s">
        <v>10</v>
      </c>
      <c r="C22" s="5" t="s">
        <v>656</v>
      </c>
      <c r="D22" s="5" t="s">
        <v>616</v>
      </c>
      <c r="E22" s="5" t="s">
        <v>657</v>
      </c>
    </row>
    <row r="23" spans="1:5" ht="13.9">
      <c r="A23" s="5" t="s">
        <v>658</v>
      </c>
      <c r="B23" s="5" t="s">
        <v>10</v>
      </c>
      <c r="C23" s="5" t="s">
        <v>656</v>
      </c>
      <c r="D23" s="5" t="s">
        <v>616</v>
      </c>
      <c r="E23" s="5" t="s">
        <v>659</v>
      </c>
    </row>
  </sheetData>
  <mergeCells count="1">
    <mergeCell ref="A1:E1"/>
  </mergeCells>
  <conditionalFormatting sqref="B4:B23">
    <cfRule type="expression" dxfId="2" priority="1">
      <formula>B4="Replace"</formula>
    </cfRule>
    <cfRule type="expression" dxfId="1" priority="2">
      <formula>B4="Exclude"</formula>
    </cfRule>
    <cfRule type="expression" dxfId="0" priority="3">
      <formula>B4="Monitor"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/>
  </sheetViews>
  <sheetFormatPr defaultRowHeight="13.5"/>
  <cols>
    <col min="1" max="9" width="30" customWidth="1"/>
  </cols>
  <sheetData>
    <row r="1" spans="1:9" ht="13.9">
      <c r="A1" s="1" t="s">
        <v>46</v>
      </c>
      <c r="B1" s="1" t="s">
        <v>47</v>
      </c>
      <c r="C1" s="1" t="s">
        <v>49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61</v>
      </c>
    </row>
    <row r="2" spans="1:9">
      <c r="A2" t="s">
        <v>64</v>
      </c>
      <c r="B2" t="s">
        <v>65</v>
      </c>
      <c r="C2" t="s">
        <v>7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85</v>
      </c>
    </row>
    <row r="3" spans="1:9">
      <c r="A3" t="s">
        <v>10</v>
      </c>
      <c r="B3" t="s">
        <v>132</v>
      </c>
      <c r="C3" t="s">
        <v>9</v>
      </c>
      <c r="D3" t="s">
        <v>660</v>
      </c>
      <c r="E3" t="s">
        <v>84</v>
      </c>
      <c r="F3" t="s">
        <v>118</v>
      </c>
      <c r="G3" t="s">
        <v>112</v>
      </c>
      <c r="H3" t="s">
        <v>661</v>
      </c>
      <c r="I3" t="s">
        <v>77</v>
      </c>
    </row>
    <row r="4" spans="1:9">
      <c r="A4" t="s">
        <v>607</v>
      </c>
      <c r="B4" t="s">
        <v>184</v>
      </c>
      <c r="C4" t="s">
        <v>11</v>
      </c>
      <c r="D4" t="s">
        <v>662</v>
      </c>
      <c r="E4" t="s">
        <v>663</v>
      </c>
      <c r="F4" t="s">
        <v>664</v>
      </c>
      <c r="H4" t="s">
        <v>665</v>
      </c>
      <c r="I4" t="s">
        <v>666</v>
      </c>
    </row>
    <row r="5" spans="1:9">
      <c r="C5" t="s">
        <v>13</v>
      </c>
      <c r="D5" t="s">
        <v>667</v>
      </c>
      <c r="E5" t="s">
        <v>14</v>
      </c>
      <c r="F5" t="s">
        <v>668</v>
      </c>
      <c r="H5" t="s">
        <v>669</v>
      </c>
      <c r="I5" t="s">
        <v>670</v>
      </c>
    </row>
    <row r="6" spans="1:9">
      <c r="C6" t="s">
        <v>15</v>
      </c>
      <c r="D6" t="s">
        <v>671</v>
      </c>
      <c r="H6" t="s">
        <v>672</v>
      </c>
      <c r="I6" t="s">
        <v>312</v>
      </c>
    </row>
    <row r="7" spans="1:9">
      <c r="C7" t="s">
        <v>17</v>
      </c>
      <c r="D7" t="s">
        <v>673</v>
      </c>
      <c r="I7" t="s">
        <v>674</v>
      </c>
    </row>
    <row r="8" spans="1:9">
      <c r="C8" t="s">
        <v>18</v>
      </c>
      <c r="D8" t="s">
        <v>675</v>
      </c>
    </row>
    <row r="9" spans="1:9">
      <c r="C9" t="s">
        <v>20</v>
      </c>
      <c r="D9" t="s">
        <v>676</v>
      </c>
    </row>
    <row r="10" spans="1:9">
      <c r="C10" t="s">
        <v>19</v>
      </c>
      <c r="D10" t="s">
        <v>677</v>
      </c>
    </row>
    <row r="11" spans="1:9">
      <c r="D11" t="s">
        <v>678</v>
      </c>
    </row>
    <row r="12" spans="1:9">
      <c r="D12" t="s">
        <v>679</v>
      </c>
    </row>
    <row r="13" spans="1:9">
      <c r="D13" t="s">
        <v>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/>
  </sheetViews>
  <sheetFormatPr defaultRowHeight="13.5"/>
  <cols>
    <col min="1" max="1" width="26" customWidth="1"/>
    <col min="2" max="2" width="70" customWidth="1"/>
    <col min="3" max="4" width="6" customWidth="1"/>
    <col min="5" max="5" width="52" customWidth="1"/>
    <col min="6" max="8" width="12" customWidth="1"/>
  </cols>
  <sheetData>
    <row r="1" spans="1:8" ht="56.25">
      <c r="A1" s="15" t="s">
        <v>1086</v>
      </c>
      <c r="B1" s="15"/>
      <c r="C1" s="15"/>
      <c r="D1" s="15"/>
      <c r="E1" s="15"/>
      <c r="F1" s="15"/>
      <c r="G1" s="15"/>
      <c r="H1" s="15"/>
    </row>
    <row r="2" spans="1:8" ht="27">
      <c r="A2" s="5" t="s">
        <v>1087</v>
      </c>
      <c r="B2" s="5" t="s">
        <v>1088</v>
      </c>
      <c r="C2" s="5"/>
      <c r="D2" s="5"/>
      <c r="E2" s="5"/>
      <c r="F2" s="5"/>
      <c r="G2" s="5"/>
      <c r="H2" s="5"/>
    </row>
    <row r="3" spans="1:8">
      <c r="A3" s="5" t="s">
        <v>1089</v>
      </c>
      <c r="B3" s="16">
        <v>46193</v>
      </c>
      <c r="C3" s="5"/>
      <c r="D3" s="5"/>
      <c r="E3" s="5" t="s">
        <v>1090</v>
      </c>
      <c r="F3" s="5">
        <v>55</v>
      </c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 ht="13.9">
      <c r="A5" s="11" t="s">
        <v>1091</v>
      </c>
      <c r="B5" s="11" t="s">
        <v>1092</v>
      </c>
      <c r="C5" s="11"/>
      <c r="D5" s="11"/>
      <c r="E5" s="11" t="s">
        <v>1093</v>
      </c>
      <c r="F5" s="11"/>
      <c r="G5" s="11"/>
      <c r="H5" s="11"/>
    </row>
    <row r="6" spans="1:8" ht="27">
      <c r="A6" s="5" t="s">
        <v>1094</v>
      </c>
      <c r="B6" s="5" t="s">
        <v>1095</v>
      </c>
      <c r="C6" s="5"/>
      <c r="D6" s="5"/>
      <c r="E6" s="5" t="s">
        <v>1096</v>
      </c>
      <c r="F6" s="5"/>
      <c r="G6" s="5"/>
      <c r="H6" s="5"/>
    </row>
    <row r="7" spans="1:8">
      <c r="A7" s="5" t="s">
        <v>1097</v>
      </c>
      <c r="B7" s="5" t="s">
        <v>1098</v>
      </c>
      <c r="C7" s="5"/>
      <c r="D7" s="5"/>
      <c r="E7" s="5" t="s">
        <v>1099</v>
      </c>
      <c r="F7" s="5"/>
      <c r="G7" s="5"/>
      <c r="H7" s="5"/>
    </row>
    <row r="8" spans="1:8" ht="27">
      <c r="A8" s="5" t="s">
        <v>1100</v>
      </c>
      <c r="B8" s="5" t="s">
        <v>1101</v>
      </c>
      <c r="C8" s="5"/>
      <c r="D8" s="5"/>
      <c r="E8" s="5" t="s">
        <v>1102</v>
      </c>
      <c r="F8" s="5"/>
      <c r="G8" s="5"/>
      <c r="H8" s="5"/>
    </row>
    <row r="9" spans="1:8" ht="27">
      <c r="A9" s="5" t="s">
        <v>1103</v>
      </c>
      <c r="B9" s="5" t="s">
        <v>1104</v>
      </c>
      <c r="C9" s="5"/>
      <c r="D9" s="5"/>
      <c r="E9" s="5" t="s">
        <v>1105</v>
      </c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 ht="13.9">
      <c r="A11" s="11" t="s">
        <v>2</v>
      </c>
      <c r="B11" s="11" t="s">
        <v>1106</v>
      </c>
      <c r="C11" s="11"/>
      <c r="D11" s="11"/>
      <c r="E11" s="11" t="s">
        <v>1107</v>
      </c>
      <c r="F11" s="11"/>
      <c r="G11" s="11"/>
      <c r="H11" s="11"/>
    </row>
    <row r="12" spans="1:8">
      <c r="A12" s="5" t="s">
        <v>1108</v>
      </c>
      <c r="B12" s="5">
        <f>'100 Company Source List'!A159</f>
        <v>155</v>
      </c>
      <c r="C12" s="5"/>
      <c r="D12" s="5"/>
      <c r="E12" s="5" t="s">
        <v>1109</v>
      </c>
      <c r="F12" s="5"/>
      <c r="G12" s="5"/>
      <c r="H12" s="5"/>
    </row>
    <row r="13" spans="1:8">
      <c r="A13" s="5" t="s">
        <v>1110</v>
      </c>
      <c r="B13" s="5">
        <v>55</v>
      </c>
      <c r="C13" s="5"/>
      <c r="D13" s="5"/>
      <c r="E13" s="5" t="s">
        <v>1111</v>
      </c>
      <c r="F13" s="5"/>
      <c r="G13" s="5"/>
      <c r="H13" s="5"/>
    </row>
    <row r="14" spans="1:8">
      <c r="A14" s="5" t="s">
        <v>1112</v>
      </c>
      <c r="B14" s="5">
        <f>COUNTIF('100 Company Source List'!U105:U159,"Core fit")</f>
        <v>23</v>
      </c>
      <c r="C14" s="5"/>
      <c r="D14" s="5"/>
      <c r="E14" s="5" t="s">
        <v>1113</v>
      </c>
      <c r="F14" s="5"/>
      <c r="G14" s="5"/>
      <c r="H14" s="5"/>
    </row>
    <row r="15" spans="1:8">
      <c r="A15" s="5" t="s">
        <v>1114</v>
      </c>
      <c r="B15" s="5">
        <f>COUNTIF('100 Company Source List'!U105:U159,"Strong fit")</f>
        <v>26</v>
      </c>
      <c r="C15" s="5"/>
      <c r="D15" s="5"/>
      <c r="E15" s="5" t="s">
        <v>1115</v>
      </c>
      <c r="F15" s="5"/>
      <c r="G15" s="5"/>
      <c r="H15" s="5"/>
    </row>
    <row r="16" spans="1:8">
      <c r="A16" s="5" t="s">
        <v>1116</v>
      </c>
      <c r="B16" s="5">
        <f>COUNTIF('100 Company Source List'!U105:U159,"Selective fit")</f>
        <v>6</v>
      </c>
      <c r="C16" s="5"/>
      <c r="D16" s="5"/>
      <c r="E16" s="5" t="s">
        <v>1117</v>
      </c>
      <c r="F16" s="5"/>
      <c r="G16" s="5"/>
      <c r="H16" s="5"/>
    </row>
    <row r="17" spans="1:8">
      <c r="A17" s="5" t="s">
        <v>1118</v>
      </c>
      <c r="B17" s="5">
        <f>COUNTIF('100 Company Source List'!W105:W159,"High")</f>
        <v>39</v>
      </c>
      <c r="C17" s="5"/>
      <c r="D17" s="5"/>
      <c r="E17" s="5" t="s">
        <v>1119</v>
      </c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 ht="27.75">
      <c r="A19" s="11" t="s">
        <v>1120</v>
      </c>
      <c r="B19" s="11"/>
      <c r="C19" s="11"/>
      <c r="D19" s="11"/>
      <c r="E19" s="11"/>
      <c r="F19" s="11"/>
      <c r="G19" s="11"/>
      <c r="H19" s="11"/>
    </row>
    <row r="20" spans="1:8">
      <c r="A20" s="5" t="s">
        <v>22</v>
      </c>
      <c r="B20" s="5" t="s">
        <v>1121</v>
      </c>
      <c r="C20" s="5"/>
      <c r="D20" s="5"/>
      <c r="E20" s="5"/>
      <c r="F20" s="5"/>
      <c r="G20" s="5"/>
      <c r="H20" s="5"/>
    </row>
    <row r="21" spans="1:8" ht="27">
      <c r="A21" s="5" t="s">
        <v>24</v>
      </c>
      <c r="B21" s="5" t="s">
        <v>1122</v>
      </c>
      <c r="C21" s="5"/>
      <c r="D21" s="5"/>
      <c r="E21" s="5"/>
      <c r="F21" s="5"/>
      <c r="G21" s="5"/>
      <c r="H21" s="5"/>
    </row>
    <row r="22" spans="1:8" ht="27">
      <c r="A22" s="5" t="s">
        <v>26</v>
      </c>
      <c r="B22" s="5" t="s">
        <v>1123</v>
      </c>
      <c r="C22" s="5"/>
      <c r="D22" s="5"/>
      <c r="E22" s="5"/>
      <c r="F22" s="5"/>
      <c r="G22" s="5"/>
      <c r="H22" s="5"/>
    </row>
    <row r="23" spans="1:8">
      <c r="A23" s="5" t="s">
        <v>28</v>
      </c>
      <c r="B23" s="5" t="s">
        <v>1124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6"/>
  <sheetViews>
    <sheetView workbookViewId="0"/>
  </sheetViews>
  <sheetFormatPr defaultRowHeight="13.5"/>
  <cols>
    <col min="1" max="1" width="8" customWidth="1"/>
    <col min="2" max="2" width="16" customWidth="1"/>
    <col min="3" max="3" width="10" customWidth="1"/>
    <col min="4" max="4" width="28" customWidth="1"/>
    <col min="5" max="5" width="24" customWidth="1"/>
    <col min="6" max="6" width="34" customWidth="1"/>
    <col min="7" max="7" width="24" customWidth="1"/>
    <col min="8" max="8" width="34" customWidth="1"/>
    <col min="9" max="9" width="28" customWidth="1"/>
    <col min="10" max="10" width="34" customWidth="1"/>
    <col min="11" max="11" width="16" customWidth="1"/>
    <col min="12" max="12" width="22" customWidth="1"/>
    <col min="13" max="13" width="14" customWidth="1"/>
    <col min="14" max="14" width="12" customWidth="1"/>
    <col min="15" max="15" width="18" customWidth="1"/>
    <col min="16" max="16" width="14" customWidth="1"/>
    <col min="17" max="17" width="22" customWidth="1"/>
    <col min="18" max="18" width="44" customWidth="1"/>
    <col min="19" max="19" width="34" customWidth="1"/>
    <col min="20" max="20" width="14" customWidth="1"/>
    <col min="21" max="21" width="16" customWidth="1"/>
    <col min="22" max="22" width="46" customWidth="1"/>
    <col min="23" max="23" width="18" customWidth="1"/>
    <col min="24" max="24" width="22" customWidth="1"/>
    <col min="25" max="25" width="38" customWidth="1"/>
    <col min="26" max="26" width="34" customWidth="1"/>
  </cols>
  <sheetData>
    <row r="1" spans="1:26" ht="15" customHeight="1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683</v>
      </c>
      <c r="U1" s="12" t="s">
        <v>684</v>
      </c>
      <c r="V1" s="12" t="s">
        <v>685</v>
      </c>
      <c r="W1" s="12" t="s">
        <v>686</v>
      </c>
      <c r="X1" s="12" t="s">
        <v>687</v>
      </c>
      <c r="Y1" s="12" t="s">
        <v>688</v>
      </c>
      <c r="Z1" s="12" t="s">
        <v>689</v>
      </c>
    </row>
    <row r="2" spans="1:26" ht="24" customHeight="1">
      <c r="A2" s="8">
        <v>101</v>
      </c>
      <c r="B2" s="8" t="s">
        <v>64</v>
      </c>
      <c r="C2" s="8" t="s">
        <v>65</v>
      </c>
      <c r="D2" s="8" t="s">
        <v>695</v>
      </c>
      <c r="E2" s="8" t="s">
        <v>7</v>
      </c>
      <c r="F2" s="8" t="s">
        <v>696</v>
      </c>
      <c r="G2" s="8" t="s">
        <v>697</v>
      </c>
      <c r="H2" s="8" t="s">
        <v>698</v>
      </c>
      <c r="I2" s="8" t="s">
        <v>699</v>
      </c>
      <c r="J2" s="8"/>
      <c r="K2" s="8" t="s">
        <v>72</v>
      </c>
      <c r="L2" s="8" t="s">
        <v>84</v>
      </c>
      <c r="M2" s="8" t="s">
        <v>74</v>
      </c>
      <c r="N2" s="8" t="s">
        <v>75</v>
      </c>
      <c r="O2" s="8" t="s">
        <v>700</v>
      </c>
      <c r="P2" s="14">
        <v>46193</v>
      </c>
      <c r="Q2" s="8" t="s">
        <v>701</v>
      </c>
      <c r="R2" s="8" t="s">
        <v>702</v>
      </c>
      <c r="S2" s="8" t="s">
        <v>699</v>
      </c>
      <c r="T2" s="13">
        <v>5</v>
      </c>
      <c r="U2" s="8" t="s">
        <v>703</v>
      </c>
      <c r="V2" s="8" t="s">
        <v>704</v>
      </c>
      <c r="W2" s="8" t="s">
        <v>705</v>
      </c>
      <c r="X2" s="8" t="s">
        <v>706</v>
      </c>
      <c r="Y2" s="8" t="s">
        <v>707</v>
      </c>
      <c r="Z2" s="8"/>
    </row>
    <row r="3" spans="1:26" ht="24" customHeight="1">
      <c r="A3" s="8">
        <v>102</v>
      </c>
      <c r="B3" s="8" t="s">
        <v>64</v>
      </c>
      <c r="C3" s="8" t="s">
        <v>65</v>
      </c>
      <c r="D3" s="8" t="s">
        <v>708</v>
      </c>
      <c r="E3" s="8" t="s">
        <v>7</v>
      </c>
      <c r="F3" s="8" t="s">
        <v>709</v>
      </c>
      <c r="G3" s="8" t="s">
        <v>710</v>
      </c>
      <c r="H3" s="8" t="s">
        <v>711</v>
      </c>
      <c r="I3" s="8" t="s">
        <v>712</v>
      </c>
      <c r="J3" s="8"/>
      <c r="K3" s="8" t="s">
        <v>72</v>
      </c>
      <c r="L3" s="8" t="s">
        <v>84</v>
      </c>
      <c r="M3" s="8" t="s">
        <v>74</v>
      </c>
      <c r="N3" s="8" t="s">
        <v>75</v>
      </c>
      <c r="O3" s="8" t="s">
        <v>700</v>
      </c>
      <c r="P3" s="14">
        <v>46193</v>
      </c>
      <c r="Q3" s="8" t="s">
        <v>713</v>
      </c>
      <c r="R3" s="8" t="s">
        <v>714</v>
      </c>
      <c r="S3" s="8" t="s">
        <v>712</v>
      </c>
      <c r="T3" s="13">
        <v>5</v>
      </c>
      <c r="U3" s="8" t="s">
        <v>703</v>
      </c>
      <c r="V3" s="8" t="s">
        <v>704</v>
      </c>
      <c r="W3" s="8" t="s">
        <v>705</v>
      </c>
      <c r="X3" s="8" t="s">
        <v>706</v>
      </c>
      <c r="Y3" s="8" t="s">
        <v>715</v>
      </c>
      <c r="Z3" s="8"/>
    </row>
    <row r="4" spans="1:26" ht="24" customHeight="1">
      <c r="A4" s="8">
        <v>103</v>
      </c>
      <c r="B4" s="8" t="s">
        <v>64</v>
      </c>
      <c r="C4" s="8" t="s">
        <v>65</v>
      </c>
      <c r="D4" s="8" t="s">
        <v>716</v>
      </c>
      <c r="E4" s="8" t="s">
        <v>9</v>
      </c>
      <c r="F4" s="8" t="s">
        <v>717</v>
      </c>
      <c r="G4" s="8" t="s">
        <v>141</v>
      </c>
      <c r="H4" s="8" t="s">
        <v>718</v>
      </c>
      <c r="I4" s="8" t="s">
        <v>719</v>
      </c>
      <c r="J4" s="8"/>
      <c r="K4" s="8" t="s">
        <v>72</v>
      </c>
      <c r="L4" s="8" t="s">
        <v>84</v>
      </c>
      <c r="M4" s="8" t="s">
        <v>74</v>
      </c>
      <c r="N4" s="8" t="s">
        <v>75</v>
      </c>
      <c r="O4" s="8" t="s">
        <v>700</v>
      </c>
      <c r="P4" s="14">
        <v>46193</v>
      </c>
      <c r="Q4" s="8" t="s">
        <v>720</v>
      </c>
      <c r="R4" s="8" t="s">
        <v>721</v>
      </c>
      <c r="S4" s="8" t="s">
        <v>719</v>
      </c>
      <c r="T4" s="13">
        <v>5</v>
      </c>
      <c r="U4" s="8" t="s">
        <v>703</v>
      </c>
      <c r="V4" s="8" t="s">
        <v>722</v>
      </c>
      <c r="W4" s="8" t="s">
        <v>705</v>
      </c>
      <c r="X4" s="8" t="s">
        <v>706</v>
      </c>
      <c r="Y4" s="8" t="s">
        <v>723</v>
      </c>
      <c r="Z4" s="8" t="s">
        <v>724</v>
      </c>
    </row>
    <row r="5" spans="1:26" ht="24" customHeight="1">
      <c r="A5" s="8">
        <v>104</v>
      </c>
      <c r="B5" s="8" t="s">
        <v>64</v>
      </c>
      <c r="C5" s="8" t="s">
        <v>65</v>
      </c>
      <c r="D5" s="8" t="s">
        <v>725</v>
      </c>
      <c r="E5" s="8" t="s">
        <v>7</v>
      </c>
      <c r="F5" s="8" t="s">
        <v>726</v>
      </c>
      <c r="G5" s="8" t="s">
        <v>141</v>
      </c>
      <c r="H5" s="8" t="s">
        <v>727</v>
      </c>
      <c r="I5" s="8" t="s">
        <v>728</v>
      </c>
      <c r="J5" s="8"/>
      <c r="K5" s="8" t="s">
        <v>72</v>
      </c>
      <c r="L5" s="8" t="s">
        <v>84</v>
      </c>
      <c r="M5" s="8" t="s">
        <v>74</v>
      </c>
      <c r="N5" s="8" t="s">
        <v>75</v>
      </c>
      <c r="O5" s="8" t="s">
        <v>700</v>
      </c>
      <c r="P5" s="14">
        <v>46193</v>
      </c>
      <c r="Q5" s="8" t="s">
        <v>729</v>
      </c>
      <c r="R5" s="8" t="s">
        <v>730</v>
      </c>
      <c r="S5" s="8" t="s">
        <v>728</v>
      </c>
      <c r="T5" s="13">
        <v>4</v>
      </c>
      <c r="U5" s="8" t="s">
        <v>731</v>
      </c>
      <c r="V5" s="8" t="s">
        <v>704</v>
      </c>
      <c r="W5" s="8" t="s">
        <v>732</v>
      </c>
      <c r="X5" s="8" t="s">
        <v>706</v>
      </c>
      <c r="Y5" s="8" t="s">
        <v>733</v>
      </c>
      <c r="Z5" s="8"/>
    </row>
    <row r="6" spans="1:26" ht="24" customHeight="1">
      <c r="A6" s="8">
        <v>105</v>
      </c>
      <c r="B6" s="8" t="s">
        <v>64</v>
      </c>
      <c r="C6" s="8" t="s">
        <v>65</v>
      </c>
      <c r="D6" s="8" t="s">
        <v>614</v>
      </c>
      <c r="E6" s="8" t="s">
        <v>7</v>
      </c>
      <c r="F6" s="8" t="s">
        <v>734</v>
      </c>
      <c r="G6" s="8" t="s">
        <v>735</v>
      </c>
      <c r="H6" s="8" t="s">
        <v>244</v>
      </c>
      <c r="I6" s="8" t="s">
        <v>617</v>
      </c>
      <c r="J6" s="8"/>
      <c r="K6" s="8" t="s">
        <v>72</v>
      </c>
      <c r="L6" s="8" t="s">
        <v>84</v>
      </c>
      <c r="M6" s="8" t="s">
        <v>74</v>
      </c>
      <c r="N6" s="8" t="s">
        <v>75</v>
      </c>
      <c r="O6" s="8" t="s">
        <v>700</v>
      </c>
      <c r="P6" s="14">
        <v>46193</v>
      </c>
      <c r="Q6" s="8" t="s">
        <v>736</v>
      </c>
      <c r="R6" s="8" t="s">
        <v>737</v>
      </c>
      <c r="S6" s="8" t="s">
        <v>617</v>
      </c>
      <c r="T6" s="13">
        <v>5</v>
      </c>
      <c r="U6" s="8" t="s">
        <v>703</v>
      </c>
      <c r="V6" s="8" t="s">
        <v>704</v>
      </c>
      <c r="W6" s="8" t="s">
        <v>705</v>
      </c>
      <c r="X6" s="8" t="s">
        <v>706</v>
      </c>
      <c r="Y6" s="8" t="s">
        <v>738</v>
      </c>
      <c r="Z6" s="8"/>
    </row>
    <row r="7" spans="1:26" ht="24" customHeight="1">
      <c r="A7" s="8">
        <v>106</v>
      </c>
      <c r="B7" s="8" t="s">
        <v>739</v>
      </c>
      <c r="C7" s="8" t="s">
        <v>132</v>
      </c>
      <c r="D7" s="8" t="s">
        <v>624</v>
      </c>
      <c r="E7" s="8" t="s">
        <v>740</v>
      </c>
      <c r="F7" s="8" t="s">
        <v>741</v>
      </c>
      <c r="G7" s="8" t="s">
        <v>735</v>
      </c>
      <c r="H7" s="8" t="s">
        <v>742</v>
      </c>
      <c r="I7" s="8" t="s">
        <v>626</v>
      </c>
      <c r="J7" s="8"/>
      <c r="K7" s="8" t="s">
        <v>72</v>
      </c>
      <c r="L7" s="8" t="s">
        <v>84</v>
      </c>
      <c r="M7" s="8" t="s">
        <v>74</v>
      </c>
      <c r="N7" s="8" t="s">
        <v>75</v>
      </c>
      <c r="O7" s="8" t="s">
        <v>700</v>
      </c>
      <c r="P7" s="14">
        <v>46193</v>
      </c>
      <c r="Q7" s="8" t="s">
        <v>743</v>
      </c>
      <c r="R7" s="8" t="s">
        <v>744</v>
      </c>
      <c r="S7" s="8" t="s">
        <v>626</v>
      </c>
      <c r="T7" s="13">
        <v>4</v>
      </c>
      <c r="U7" s="8" t="s">
        <v>731</v>
      </c>
      <c r="V7" s="8" t="s">
        <v>745</v>
      </c>
      <c r="W7" s="8" t="s">
        <v>732</v>
      </c>
      <c r="X7" s="8" t="s">
        <v>706</v>
      </c>
      <c r="Y7" s="8" t="s">
        <v>746</v>
      </c>
      <c r="Z7" s="8"/>
    </row>
    <row r="8" spans="1:26" ht="24" customHeight="1">
      <c r="A8" s="8">
        <v>107</v>
      </c>
      <c r="B8" s="8" t="s">
        <v>739</v>
      </c>
      <c r="C8" s="8" t="s">
        <v>132</v>
      </c>
      <c r="D8" s="8" t="s">
        <v>747</v>
      </c>
      <c r="E8" s="8" t="s">
        <v>748</v>
      </c>
      <c r="F8" s="8" t="s">
        <v>749</v>
      </c>
      <c r="G8" s="8" t="s">
        <v>257</v>
      </c>
      <c r="H8" s="8" t="s">
        <v>750</v>
      </c>
      <c r="I8" s="8" t="s">
        <v>620</v>
      </c>
      <c r="J8" s="8" t="s">
        <v>751</v>
      </c>
      <c r="K8" s="8" t="s">
        <v>72</v>
      </c>
      <c r="L8" s="8" t="s">
        <v>73</v>
      </c>
      <c r="M8" s="8" t="s">
        <v>74</v>
      </c>
      <c r="N8" s="8" t="s">
        <v>75</v>
      </c>
      <c r="O8" s="8" t="s">
        <v>700</v>
      </c>
      <c r="P8" s="14">
        <v>46193</v>
      </c>
      <c r="Q8" s="8" t="s">
        <v>752</v>
      </c>
      <c r="R8" s="8" t="s">
        <v>753</v>
      </c>
      <c r="S8" s="8" t="s">
        <v>620</v>
      </c>
      <c r="T8" s="13">
        <v>3</v>
      </c>
      <c r="U8" s="8" t="s">
        <v>754</v>
      </c>
      <c r="V8" s="8" t="s">
        <v>745</v>
      </c>
      <c r="W8" s="8" t="s">
        <v>705</v>
      </c>
      <c r="X8" s="8" t="s">
        <v>706</v>
      </c>
      <c r="Y8" s="8" t="s">
        <v>755</v>
      </c>
      <c r="Z8" s="8"/>
    </row>
    <row r="9" spans="1:26" ht="24" customHeight="1">
      <c r="A9" s="8">
        <v>108</v>
      </c>
      <c r="B9" s="8" t="s">
        <v>739</v>
      </c>
      <c r="C9" s="8" t="s">
        <v>132</v>
      </c>
      <c r="D9" s="8" t="s">
        <v>756</v>
      </c>
      <c r="E9" s="8" t="s">
        <v>748</v>
      </c>
      <c r="F9" s="8" t="s">
        <v>757</v>
      </c>
      <c r="G9" s="8" t="s">
        <v>735</v>
      </c>
      <c r="H9" s="8" t="s">
        <v>758</v>
      </c>
      <c r="I9" s="8" t="s">
        <v>759</v>
      </c>
      <c r="J9" s="8"/>
      <c r="K9" s="8" t="s">
        <v>72</v>
      </c>
      <c r="L9" s="8" t="s">
        <v>84</v>
      </c>
      <c r="M9" s="8" t="s">
        <v>74</v>
      </c>
      <c r="N9" s="8" t="s">
        <v>112</v>
      </c>
      <c r="O9" s="8" t="s">
        <v>700</v>
      </c>
      <c r="P9" s="14">
        <v>46193</v>
      </c>
      <c r="Q9" s="8" t="s">
        <v>760</v>
      </c>
      <c r="R9" s="8" t="s">
        <v>761</v>
      </c>
      <c r="S9" s="8" t="s">
        <v>759</v>
      </c>
      <c r="T9" s="13">
        <v>3</v>
      </c>
      <c r="U9" s="8" t="s">
        <v>754</v>
      </c>
      <c r="V9" s="8" t="s">
        <v>745</v>
      </c>
      <c r="W9" s="8" t="s">
        <v>732</v>
      </c>
      <c r="X9" s="8" t="s">
        <v>706</v>
      </c>
      <c r="Y9" s="8" t="s">
        <v>762</v>
      </c>
      <c r="Z9" s="8"/>
    </row>
    <row r="10" spans="1:26" ht="24" customHeight="1">
      <c r="A10" s="8">
        <v>109</v>
      </c>
      <c r="B10" s="8" t="s">
        <v>739</v>
      </c>
      <c r="C10" s="8" t="s">
        <v>132</v>
      </c>
      <c r="D10" s="8" t="s">
        <v>763</v>
      </c>
      <c r="E10" s="8" t="s">
        <v>748</v>
      </c>
      <c r="F10" s="8" t="s">
        <v>764</v>
      </c>
      <c r="G10" s="8" t="s">
        <v>735</v>
      </c>
      <c r="H10" s="8" t="s">
        <v>765</v>
      </c>
      <c r="I10" s="8" t="s">
        <v>766</v>
      </c>
      <c r="J10" s="8"/>
      <c r="K10" s="8" t="s">
        <v>72</v>
      </c>
      <c r="L10" s="8" t="s">
        <v>84</v>
      </c>
      <c r="M10" s="8" t="s">
        <v>74</v>
      </c>
      <c r="N10" s="8" t="s">
        <v>112</v>
      </c>
      <c r="O10" s="8" t="s">
        <v>700</v>
      </c>
      <c r="P10" s="14">
        <v>46193</v>
      </c>
      <c r="Q10" s="8" t="s">
        <v>743</v>
      </c>
      <c r="R10" s="8" t="s">
        <v>767</v>
      </c>
      <c r="S10" s="8" t="s">
        <v>766</v>
      </c>
      <c r="T10" s="13">
        <v>3</v>
      </c>
      <c r="U10" s="8" t="s">
        <v>754</v>
      </c>
      <c r="V10" s="8" t="s">
        <v>745</v>
      </c>
      <c r="W10" s="8" t="s">
        <v>732</v>
      </c>
      <c r="X10" s="8" t="s">
        <v>706</v>
      </c>
      <c r="Y10" s="8" t="s">
        <v>762</v>
      </c>
      <c r="Z10" s="8"/>
    </row>
    <row r="11" spans="1:26" ht="24" customHeight="1">
      <c r="A11" s="8">
        <v>110</v>
      </c>
      <c r="B11" s="8" t="s">
        <v>64</v>
      </c>
      <c r="C11" s="8" t="s">
        <v>65</v>
      </c>
      <c r="D11" s="8" t="s">
        <v>768</v>
      </c>
      <c r="E11" s="8" t="s">
        <v>7</v>
      </c>
      <c r="F11" s="8" t="s">
        <v>769</v>
      </c>
      <c r="G11" s="8" t="s">
        <v>487</v>
      </c>
      <c r="H11" s="8" t="s">
        <v>770</v>
      </c>
      <c r="I11" s="8" t="s">
        <v>771</v>
      </c>
      <c r="J11" s="8"/>
      <c r="K11" s="8" t="s">
        <v>72</v>
      </c>
      <c r="L11" s="8" t="s">
        <v>84</v>
      </c>
      <c r="M11" s="8" t="s">
        <v>74</v>
      </c>
      <c r="N11" s="8" t="s">
        <v>112</v>
      </c>
      <c r="O11" s="8" t="s">
        <v>700</v>
      </c>
      <c r="P11" s="14">
        <v>46193</v>
      </c>
      <c r="Q11" s="8" t="s">
        <v>713</v>
      </c>
      <c r="R11" s="8" t="s">
        <v>772</v>
      </c>
      <c r="S11" s="8" t="s">
        <v>771</v>
      </c>
      <c r="T11" s="13">
        <v>5</v>
      </c>
      <c r="U11" s="8" t="s">
        <v>703</v>
      </c>
      <c r="V11" s="8" t="s">
        <v>704</v>
      </c>
      <c r="W11" s="8" t="s">
        <v>732</v>
      </c>
      <c r="X11" s="8" t="s">
        <v>706</v>
      </c>
      <c r="Y11" s="8" t="s">
        <v>733</v>
      </c>
      <c r="Z11" s="8"/>
    </row>
    <row r="12" spans="1:26" ht="24" customHeight="1">
      <c r="A12" s="8">
        <v>111</v>
      </c>
      <c r="B12" s="8" t="s">
        <v>64</v>
      </c>
      <c r="C12" s="8" t="s">
        <v>65</v>
      </c>
      <c r="D12" s="8" t="s">
        <v>773</v>
      </c>
      <c r="E12" s="8" t="s">
        <v>7</v>
      </c>
      <c r="F12" s="8" t="s">
        <v>774</v>
      </c>
      <c r="G12" s="8" t="s">
        <v>487</v>
      </c>
      <c r="H12" s="8" t="s">
        <v>488</v>
      </c>
      <c r="I12" s="8" t="s">
        <v>775</v>
      </c>
      <c r="J12" s="8"/>
      <c r="K12" s="8" t="s">
        <v>72</v>
      </c>
      <c r="L12" s="8" t="s">
        <v>84</v>
      </c>
      <c r="M12" s="8" t="s">
        <v>74</v>
      </c>
      <c r="N12" s="8" t="s">
        <v>112</v>
      </c>
      <c r="O12" s="8" t="s">
        <v>700</v>
      </c>
      <c r="P12" s="14">
        <v>46193</v>
      </c>
      <c r="Q12" s="8" t="s">
        <v>713</v>
      </c>
      <c r="R12" s="8" t="s">
        <v>776</v>
      </c>
      <c r="S12" s="8" t="s">
        <v>775</v>
      </c>
      <c r="T12" s="13">
        <v>5</v>
      </c>
      <c r="U12" s="8" t="s">
        <v>703</v>
      </c>
      <c r="V12" s="8" t="s">
        <v>704</v>
      </c>
      <c r="W12" s="8" t="s">
        <v>732</v>
      </c>
      <c r="X12" s="8" t="s">
        <v>706</v>
      </c>
      <c r="Y12" s="8" t="s">
        <v>733</v>
      </c>
      <c r="Z12" s="8"/>
    </row>
    <row r="13" spans="1:26" ht="24" customHeight="1">
      <c r="A13" s="8">
        <v>112</v>
      </c>
      <c r="B13" s="8" t="s">
        <v>64</v>
      </c>
      <c r="C13" s="8" t="s">
        <v>65</v>
      </c>
      <c r="D13" s="8" t="s">
        <v>777</v>
      </c>
      <c r="E13" s="8" t="s">
        <v>7</v>
      </c>
      <c r="F13" s="8" t="s">
        <v>778</v>
      </c>
      <c r="G13" s="8" t="s">
        <v>141</v>
      </c>
      <c r="H13" s="8" t="s">
        <v>779</v>
      </c>
      <c r="I13" s="8" t="s">
        <v>780</v>
      </c>
      <c r="J13" s="8"/>
      <c r="K13" s="8" t="s">
        <v>72</v>
      </c>
      <c r="L13" s="8" t="s">
        <v>84</v>
      </c>
      <c r="M13" s="8" t="s">
        <v>74</v>
      </c>
      <c r="N13" s="8" t="s">
        <v>75</v>
      </c>
      <c r="O13" s="8" t="s">
        <v>700</v>
      </c>
      <c r="P13" s="14">
        <v>46193</v>
      </c>
      <c r="Q13" s="8" t="s">
        <v>781</v>
      </c>
      <c r="R13" s="8" t="s">
        <v>782</v>
      </c>
      <c r="S13" s="8" t="s">
        <v>780</v>
      </c>
      <c r="T13" s="13">
        <v>4</v>
      </c>
      <c r="U13" s="8" t="s">
        <v>731</v>
      </c>
      <c r="V13" s="8" t="s">
        <v>704</v>
      </c>
      <c r="W13" s="8" t="s">
        <v>705</v>
      </c>
      <c r="X13" s="8" t="s">
        <v>706</v>
      </c>
      <c r="Y13" s="8" t="s">
        <v>783</v>
      </c>
      <c r="Z13" s="8"/>
    </row>
    <row r="14" spans="1:26" ht="24" customHeight="1">
      <c r="A14" s="8">
        <v>113</v>
      </c>
      <c r="B14" s="8" t="s">
        <v>64</v>
      </c>
      <c r="C14" s="8" t="s">
        <v>65</v>
      </c>
      <c r="D14" s="8" t="s">
        <v>784</v>
      </c>
      <c r="E14" s="8" t="s">
        <v>7</v>
      </c>
      <c r="F14" s="8" t="s">
        <v>785</v>
      </c>
      <c r="G14" s="8" t="s">
        <v>141</v>
      </c>
      <c r="H14" s="8" t="s">
        <v>786</v>
      </c>
      <c r="I14" s="8" t="s">
        <v>787</v>
      </c>
      <c r="J14" s="8"/>
      <c r="K14" s="8" t="s">
        <v>72</v>
      </c>
      <c r="L14" s="8" t="s">
        <v>84</v>
      </c>
      <c r="M14" s="8" t="s">
        <v>74</v>
      </c>
      <c r="N14" s="8" t="s">
        <v>75</v>
      </c>
      <c r="O14" s="8" t="s">
        <v>700</v>
      </c>
      <c r="P14" s="14">
        <v>46193</v>
      </c>
      <c r="Q14" s="8" t="s">
        <v>729</v>
      </c>
      <c r="R14" s="8" t="s">
        <v>788</v>
      </c>
      <c r="S14" s="8" t="s">
        <v>787</v>
      </c>
      <c r="T14" s="13">
        <v>4</v>
      </c>
      <c r="U14" s="8" t="s">
        <v>731</v>
      </c>
      <c r="V14" s="8" t="s">
        <v>704</v>
      </c>
      <c r="W14" s="8" t="s">
        <v>705</v>
      </c>
      <c r="X14" s="8" t="s">
        <v>706</v>
      </c>
      <c r="Y14" s="8" t="s">
        <v>783</v>
      </c>
      <c r="Z14" s="8"/>
    </row>
    <row r="15" spans="1:26" ht="24" customHeight="1">
      <c r="A15" s="8">
        <v>114</v>
      </c>
      <c r="B15" s="8" t="s">
        <v>64</v>
      </c>
      <c r="C15" s="8" t="s">
        <v>132</v>
      </c>
      <c r="D15" s="8" t="s">
        <v>789</v>
      </c>
      <c r="E15" s="8" t="s">
        <v>7</v>
      </c>
      <c r="F15" s="8" t="s">
        <v>790</v>
      </c>
      <c r="G15" s="8" t="s">
        <v>141</v>
      </c>
      <c r="H15" s="8" t="s">
        <v>791</v>
      </c>
      <c r="I15" s="8" t="s">
        <v>792</v>
      </c>
      <c r="J15" s="8"/>
      <c r="K15" s="8" t="s">
        <v>72</v>
      </c>
      <c r="L15" s="8" t="s">
        <v>84</v>
      </c>
      <c r="M15" s="8" t="s">
        <v>74</v>
      </c>
      <c r="N15" s="8" t="s">
        <v>75</v>
      </c>
      <c r="O15" s="8" t="s">
        <v>700</v>
      </c>
      <c r="P15" s="14">
        <v>46193</v>
      </c>
      <c r="Q15" s="8" t="s">
        <v>729</v>
      </c>
      <c r="R15" s="8" t="s">
        <v>793</v>
      </c>
      <c r="S15" s="8" t="s">
        <v>792</v>
      </c>
      <c r="T15" s="13">
        <v>4</v>
      </c>
      <c r="U15" s="8" t="s">
        <v>731</v>
      </c>
      <c r="V15" s="8" t="s">
        <v>704</v>
      </c>
      <c r="W15" s="8" t="s">
        <v>732</v>
      </c>
      <c r="X15" s="8" t="s">
        <v>706</v>
      </c>
      <c r="Y15" s="8" t="s">
        <v>733</v>
      </c>
      <c r="Z15" s="8"/>
    </row>
    <row r="16" spans="1:26" ht="24" customHeight="1">
      <c r="A16" s="8">
        <v>115</v>
      </c>
      <c r="B16" s="8" t="s">
        <v>64</v>
      </c>
      <c r="C16" s="8" t="s">
        <v>132</v>
      </c>
      <c r="D16" s="8" t="s">
        <v>794</v>
      </c>
      <c r="E16" s="8" t="s">
        <v>7</v>
      </c>
      <c r="F16" s="8" t="s">
        <v>795</v>
      </c>
      <c r="G16" s="8" t="s">
        <v>330</v>
      </c>
      <c r="H16" s="8" t="s">
        <v>796</v>
      </c>
      <c r="I16" s="8" t="s">
        <v>797</v>
      </c>
      <c r="J16" s="8"/>
      <c r="K16" s="8" t="s">
        <v>72</v>
      </c>
      <c r="L16" s="8" t="s">
        <v>84</v>
      </c>
      <c r="M16" s="8" t="s">
        <v>74</v>
      </c>
      <c r="N16" s="8" t="s">
        <v>75</v>
      </c>
      <c r="O16" s="8" t="s">
        <v>700</v>
      </c>
      <c r="P16" s="14">
        <v>46193</v>
      </c>
      <c r="Q16" s="8" t="s">
        <v>729</v>
      </c>
      <c r="R16" s="8" t="s">
        <v>798</v>
      </c>
      <c r="S16" s="8" t="s">
        <v>797</v>
      </c>
      <c r="T16" s="13">
        <v>4</v>
      </c>
      <c r="U16" s="8" t="s">
        <v>731</v>
      </c>
      <c r="V16" s="8" t="s">
        <v>704</v>
      </c>
      <c r="W16" s="8" t="s">
        <v>732</v>
      </c>
      <c r="X16" s="8" t="s">
        <v>706</v>
      </c>
      <c r="Y16" s="8" t="s">
        <v>783</v>
      </c>
      <c r="Z16" s="8"/>
    </row>
    <row r="17" spans="1:26" ht="24" customHeight="1">
      <c r="A17" s="8">
        <v>116</v>
      </c>
      <c r="B17" s="8" t="s">
        <v>64</v>
      </c>
      <c r="C17" s="8" t="s">
        <v>65</v>
      </c>
      <c r="D17" s="8" t="s">
        <v>799</v>
      </c>
      <c r="E17" s="8" t="s">
        <v>15</v>
      </c>
      <c r="F17" s="8" t="s">
        <v>800</v>
      </c>
      <c r="G17" s="8" t="s">
        <v>141</v>
      </c>
      <c r="H17" s="8" t="s">
        <v>300</v>
      </c>
      <c r="I17" s="8" t="s">
        <v>801</v>
      </c>
      <c r="J17" s="8"/>
      <c r="K17" s="8" t="s">
        <v>72</v>
      </c>
      <c r="L17" s="8" t="s">
        <v>84</v>
      </c>
      <c r="M17" s="8" t="s">
        <v>74</v>
      </c>
      <c r="N17" s="8" t="s">
        <v>112</v>
      </c>
      <c r="O17" s="8" t="s">
        <v>700</v>
      </c>
      <c r="P17" s="14">
        <v>46193</v>
      </c>
      <c r="Q17" s="8" t="s">
        <v>802</v>
      </c>
      <c r="R17" s="8" t="s">
        <v>803</v>
      </c>
      <c r="S17" s="8" t="s">
        <v>801</v>
      </c>
      <c r="T17" s="13">
        <v>4</v>
      </c>
      <c r="U17" s="8" t="s">
        <v>731</v>
      </c>
      <c r="V17" s="8" t="s">
        <v>804</v>
      </c>
      <c r="W17" s="8" t="s">
        <v>705</v>
      </c>
      <c r="X17" s="8" t="s">
        <v>706</v>
      </c>
      <c r="Y17" s="8" t="s">
        <v>805</v>
      </c>
      <c r="Z17" s="8"/>
    </row>
    <row r="18" spans="1:26" ht="24" customHeight="1">
      <c r="A18" s="8">
        <v>117</v>
      </c>
      <c r="B18" s="8" t="s">
        <v>64</v>
      </c>
      <c r="C18" s="8" t="s">
        <v>65</v>
      </c>
      <c r="D18" s="8" t="s">
        <v>806</v>
      </c>
      <c r="E18" s="8" t="s">
        <v>13</v>
      </c>
      <c r="F18" s="8" t="s">
        <v>807</v>
      </c>
      <c r="G18" s="8" t="s">
        <v>128</v>
      </c>
      <c r="H18" s="8" t="s">
        <v>244</v>
      </c>
      <c r="I18" s="8" t="s">
        <v>808</v>
      </c>
      <c r="J18" s="8"/>
      <c r="K18" s="8" t="s">
        <v>72</v>
      </c>
      <c r="L18" s="8" t="s">
        <v>84</v>
      </c>
      <c r="M18" s="8" t="s">
        <v>74</v>
      </c>
      <c r="N18" s="8" t="s">
        <v>75</v>
      </c>
      <c r="O18" s="8" t="s">
        <v>700</v>
      </c>
      <c r="P18" s="14">
        <v>46193</v>
      </c>
      <c r="Q18" s="8" t="s">
        <v>802</v>
      </c>
      <c r="R18" s="8" t="s">
        <v>809</v>
      </c>
      <c r="S18" s="8" t="s">
        <v>808</v>
      </c>
      <c r="T18" s="13">
        <v>4</v>
      </c>
      <c r="U18" s="8" t="s">
        <v>731</v>
      </c>
      <c r="V18" s="8" t="s">
        <v>804</v>
      </c>
      <c r="W18" s="8" t="s">
        <v>705</v>
      </c>
      <c r="X18" s="8" t="s">
        <v>706</v>
      </c>
      <c r="Y18" s="8" t="s">
        <v>783</v>
      </c>
      <c r="Z18" s="8"/>
    </row>
    <row r="19" spans="1:26" ht="24" customHeight="1">
      <c r="A19" s="8">
        <v>118</v>
      </c>
      <c r="B19" s="8" t="s">
        <v>64</v>
      </c>
      <c r="C19" s="8" t="s">
        <v>65</v>
      </c>
      <c r="D19" s="8" t="s">
        <v>810</v>
      </c>
      <c r="E19" s="8" t="s">
        <v>13</v>
      </c>
      <c r="F19" s="8" t="s">
        <v>811</v>
      </c>
      <c r="G19" s="8" t="s">
        <v>735</v>
      </c>
      <c r="H19" s="8" t="s">
        <v>228</v>
      </c>
      <c r="I19" s="8" t="s">
        <v>812</v>
      </c>
      <c r="J19" s="8"/>
      <c r="K19" s="8" t="s">
        <v>72</v>
      </c>
      <c r="L19" s="8" t="s">
        <v>813</v>
      </c>
      <c r="M19" s="8" t="s">
        <v>74</v>
      </c>
      <c r="N19" s="8" t="s">
        <v>112</v>
      </c>
      <c r="O19" s="8" t="s">
        <v>700</v>
      </c>
      <c r="P19" s="14">
        <v>46193</v>
      </c>
      <c r="Q19" s="8" t="s">
        <v>814</v>
      </c>
      <c r="R19" s="8" t="s">
        <v>815</v>
      </c>
      <c r="S19" s="8" t="s">
        <v>816</v>
      </c>
      <c r="T19" s="13">
        <v>4</v>
      </c>
      <c r="U19" s="8" t="s">
        <v>731</v>
      </c>
      <c r="V19" s="8" t="s">
        <v>804</v>
      </c>
      <c r="W19" s="8" t="s">
        <v>705</v>
      </c>
      <c r="X19" s="8" t="s">
        <v>706</v>
      </c>
      <c r="Y19" s="8" t="s">
        <v>817</v>
      </c>
      <c r="Z19" s="8" t="s">
        <v>818</v>
      </c>
    </row>
    <row r="20" spans="1:26" ht="24" customHeight="1">
      <c r="A20" s="8">
        <v>119</v>
      </c>
      <c r="B20" s="8" t="s">
        <v>64</v>
      </c>
      <c r="C20" s="8" t="s">
        <v>65</v>
      </c>
      <c r="D20" s="8" t="s">
        <v>819</v>
      </c>
      <c r="E20" s="8" t="s">
        <v>13</v>
      </c>
      <c r="F20" s="8" t="s">
        <v>820</v>
      </c>
      <c r="G20" s="8" t="s">
        <v>710</v>
      </c>
      <c r="H20" s="8" t="s">
        <v>821</v>
      </c>
      <c r="I20" s="8" t="s">
        <v>822</v>
      </c>
      <c r="J20" s="8"/>
      <c r="K20" s="8" t="s">
        <v>72</v>
      </c>
      <c r="L20" s="8" t="s">
        <v>84</v>
      </c>
      <c r="M20" s="8" t="s">
        <v>74</v>
      </c>
      <c r="N20" s="8" t="s">
        <v>112</v>
      </c>
      <c r="O20" s="8" t="s">
        <v>700</v>
      </c>
      <c r="P20" s="14">
        <v>46193</v>
      </c>
      <c r="Q20" s="8" t="s">
        <v>729</v>
      </c>
      <c r="R20" s="8" t="s">
        <v>823</v>
      </c>
      <c r="S20" s="8" t="s">
        <v>822</v>
      </c>
      <c r="T20" s="13">
        <v>4</v>
      </c>
      <c r="U20" s="8" t="s">
        <v>731</v>
      </c>
      <c r="V20" s="8" t="s">
        <v>804</v>
      </c>
      <c r="W20" s="8" t="s">
        <v>732</v>
      </c>
      <c r="X20" s="8" t="s">
        <v>706</v>
      </c>
      <c r="Y20" s="8" t="s">
        <v>733</v>
      </c>
      <c r="Z20" s="8"/>
    </row>
    <row r="21" spans="1:26" ht="24" customHeight="1">
      <c r="A21" s="8">
        <v>120</v>
      </c>
      <c r="B21" s="8" t="s">
        <v>64</v>
      </c>
      <c r="C21" s="8" t="s">
        <v>65</v>
      </c>
      <c r="D21" s="8" t="s">
        <v>824</v>
      </c>
      <c r="E21" s="8" t="s">
        <v>15</v>
      </c>
      <c r="F21" s="8" t="s">
        <v>825</v>
      </c>
      <c r="G21" s="8" t="s">
        <v>710</v>
      </c>
      <c r="H21" s="8" t="s">
        <v>826</v>
      </c>
      <c r="I21" s="8" t="s">
        <v>827</v>
      </c>
      <c r="J21" s="8"/>
      <c r="K21" s="8" t="s">
        <v>72</v>
      </c>
      <c r="L21" s="8" t="s">
        <v>84</v>
      </c>
      <c r="M21" s="8" t="s">
        <v>74</v>
      </c>
      <c r="N21" s="8" t="s">
        <v>112</v>
      </c>
      <c r="O21" s="8" t="s">
        <v>700</v>
      </c>
      <c r="P21" s="14">
        <v>46193</v>
      </c>
      <c r="Q21" s="8" t="s">
        <v>828</v>
      </c>
      <c r="R21" s="8" t="s">
        <v>829</v>
      </c>
      <c r="S21" s="8" t="s">
        <v>827</v>
      </c>
      <c r="T21" s="13">
        <v>4</v>
      </c>
      <c r="U21" s="8" t="s">
        <v>731</v>
      </c>
      <c r="V21" s="8" t="s">
        <v>804</v>
      </c>
      <c r="W21" s="8" t="s">
        <v>705</v>
      </c>
      <c r="X21" s="8" t="s">
        <v>706</v>
      </c>
      <c r="Y21" s="8" t="s">
        <v>783</v>
      </c>
      <c r="Z21" s="8"/>
    </row>
    <row r="22" spans="1:26" ht="24" customHeight="1">
      <c r="A22" s="8">
        <v>121</v>
      </c>
      <c r="B22" s="8" t="s">
        <v>64</v>
      </c>
      <c r="C22" s="8" t="s">
        <v>65</v>
      </c>
      <c r="D22" s="8" t="s">
        <v>830</v>
      </c>
      <c r="E22" s="8" t="s">
        <v>15</v>
      </c>
      <c r="F22" s="8" t="s">
        <v>831</v>
      </c>
      <c r="G22" s="8" t="s">
        <v>710</v>
      </c>
      <c r="H22" s="8" t="s">
        <v>832</v>
      </c>
      <c r="I22" s="8" t="s">
        <v>833</v>
      </c>
      <c r="J22" s="8" t="s">
        <v>834</v>
      </c>
      <c r="K22" s="8" t="s">
        <v>72</v>
      </c>
      <c r="L22" s="8" t="s">
        <v>73</v>
      </c>
      <c r="M22" s="8" t="s">
        <v>74</v>
      </c>
      <c r="N22" s="8" t="s">
        <v>112</v>
      </c>
      <c r="O22" s="8" t="s">
        <v>700</v>
      </c>
      <c r="P22" s="14">
        <v>46193</v>
      </c>
      <c r="Q22" s="8" t="s">
        <v>835</v>
      </c>
      <c r="R22" s="8" t="s">
        <v>836</v>
      </c>
      <c r="S22" s="8" t="s">
        <v>833</v>
      </c>
      <c r="T22" s="13">
        <v>4</v>
      </c>
      <c r="U22" s="8" t="s">
        <v>731</v>
      </c>
      <c r="V22" s="8" t="s">
        <v>804</v>
      </c>
      <c r="W22" s="8" t="s">
        <v>705</v>
      </c>
      <c r="X22" s="8" t="s">
        <v>706</v>
      </c>
      <c r="Y22" s="8" t="s">
        <v>837</v>
      </c>
      <c r="Z22" s="8"/>
    </row>
    <row r="23" spans="1:26" ht="24" customHeight="1">
      <c r="A23" s="8">
        <v>122</v>
      </c>
      <c r="B23" s="8" t="s">
        <v>64</v>
      </c>
      <c r="C23" s="8" t="s">
        <v>132</v>
      </c>
      <c r="D23" s="8" t="s">
        <v>838</v>
      </c>
      <c r="E23" s="8" t="s">
        <v>15</v>
      </c>
      <c r="F23" s="8" t="s">
        <v>839</v>
      </c>
      <c r="G23" s="8" t="s">
        <v>330</v>
      </c>
      <c r="H23" s="8" t="s">
        <v>796</v>
      </c>
      <c r="I23" s="8" t="s">
        <v>840</v>
      </c>
      <c r="J23" s="8"/>
      <c r="K23" s="8" t="s">
        <v>72</v>
      </c>
      <c r="L23" s="8" t="s">
        <v>84</v>
      </c>
      <c r="M23" s="8" t="s">
        <v>74</v>
      </c>
      <c r="N23" s="8" t="s">
        <v>112</v>
      </c>
      <c r="O23" s="8" t="s">
        <v>700</v>
      </c>
      <c r="P23" s="14">
        <v>46193</v>
      </c>
      <c r="Q23" s="8" t="s">
        <v>841</v>
      </c>
      <c r="R23" s="8" t="s">
        <v>842</v>
      </c>
      <c r="S23" s="8" t="s">
        <v>840</v>
      </c>
      <c r="T23" s="13">
        <v>4</v>
      </c>
      <c r="U23" s="8" t="s">
        <v>731</v>
      </c>
      <c r="V23" s="8" t="s">
        <v>704</v>
      </c>
      <c r="W23" s="8" t="s">
        <v>732</v>
      </c>
      <c r="X23" s="8" t="s">
        <v>706</v>
      </c>
      <c r="Y23" s="8" t="s">
        <v>843</v>
      </c>
      <c r="Z23" s="8"/>
    </row>
    <row r="24" spans="1:26" ht="24" customHeight="1">
      <c r="A24" s="8">
        <v>123</v>
      </c>
      <c r="B24" s="8" t="s">
        <v>64</v>
      </c>
      <c r="C24" s="8" t="s">
        <v>65</v>
      </c>
      <c r="D24" s="8" t="s">
        <v>844</v>
      </c>
      <c r="E24" s="8" t="s">
        <v>9</v>
      </c>
      <c r="F24" s="8" t="s">
        <v>845</v>
      </c>
      <c r="G24" s="8" t="s">
        <v>710</v>
      </c>
      <c r="H24" s="8" t="s">
        <v>846</v>
      </c>
      <c r="I24" s="8" t="s">
        <v>847</v>
      </c>
      <c r="J24" s="8" t="s">
        <v>848</v>
      </c>
      <c r="K24" s="8" t="s">
        <v>72</v>
      </c>
      <c r="L24" s="8" t="s">
        <v>73</v>
      </c>
      <c r="M24" s="8" t="s">
        <v>74</v>
      </c>
      <c r="N24" s="8" t="s">
        <v>112</v>
      </c>
      <c r="O24" s="8" t="s">
        <v>700</v>
      </c>
      <c r="P24" s="14">
        <v>46193</v>
      </c>
      <c r="Q24" s="8" t="s">
        <v>849</v>
      </c>
      <c r="R24" s="8" t="s">
        <v>850</v>
      </c>
      <c r="S24" s="8" t="s">
        <v>848</v>
      </c>
      <c r="T24" s="13">
        <v>5</v>
      </c>
      <c r="U24" s="8" t="s">
        <v>703</v>
      </c>
      <c r="V24" s="8" t="s">
        <v>722</v>
      </c>
      <c r="W24" s="8" t="s">
        <v>705</v>
      </c>
      <c r="X24" s="8" t="s">
        <v>706</v>
      </c>
      <c r="Y24" s="8" t="s">
        <v>851</v>
      </c>
      <c r="Z24" s="8"/>
    </row>
    <row r="25" spans="1:26" ht="24" customHeight="1">
      <c r="A25" s="8">
        <v>124</v>
      </c>
      <c r="B25" s="8" t="s">
        <v>64</v>
      </c>
      <c r="C25" s="8" t="s">
        <v>65</v>
      </c>
      <c r="D25" s="8" t="s">
        <v>852</v>
      </c>
      <c r="E25" s="8" t="s">
        <v>9</v>
      </c>
      <c r="F25" s="8" t="s">
        <v>853</v>
      </c>
      <c r="G25" s="8" t="s">
        <v>122</v>
      </c>
      <c r="H25" s="8" t="s">
        <v>218</v>
      </c>
      <c r="I25" s="8" t="s">
        <v>854</v>
      </c>
      <c r="J25" s="8" t="s">
        <v>855</v>
      </c>
      <c r="K25" s="8" t="s">
        <v>72</v>
      </c>
      <c r="L25" s="8" t="s">
        <v>73</v>
      </c>
      <c r="M25" s="8" t="s">
        <v>74</v>
      </c>
      <c r="N25" s="8" t="s">
        <v>112</v>
      </c>
      <c r="O25" s="8" t="s">
        <v>700</v>
      </c>
      <c r="P25" s="14">
        <v>46193</v>
      </c>
      <c r="Q25" s="8" t="s">
        <v>835</v>
      </c>
      <c r="R25" s="8" t="s">
        <v>856</v>
      </c>
      <c r="S25" s="8" t="s">
        <v>854</v>
      </c>
      <c r="T25" s="13">
        <v>5</v>
      </c>
      <c r="U25" s="8" t="s">
        <v>703</v>
      </c>
      <c r="V25" s="8" t="s">
        <v>722</v>
      </c>
      <c r="W25" s="8" t="s">
        <v>705</v>
      </c>
      <c r="X25" s="8" t="s">
        <v>706</v>
      </c>
      <c r="Y25" s="8" t="s">
        <v>837</v>
      </c>
      <c r="Z25" s="8"/>
    </row>
    <row r="26" spans="1:26" ht="24" customHeight="1">
      <c r="A26" s="8">
        <v>125</v>
      </c>
      <c r="B26" s="8" t="s">
        <v>64</v>
      </c>
      <c r="C26" s="8" t="s">
        <v>65</v>
      </c>
      <c r="D26" s="8" t="s">
        <v>857</v>
      </c>
      <c r="E26" s="8" t="s">
        <v>9</v>
      </c>
      <c r="F26" s="8" t="s">
        <v>858</v>
      </c>
      <c r="G26" s="8" t="s">
        <v>697</v>
      </c>
      <c r="H26" s="8" t="s">
        <v>859</v>
      </c>
      <c r="I26" s="8" t="s">
        <v>860</v>
      </c>
      <c r="J26" s="8"/>
      <c r="K26" s="8" t="s">
        <v>72</v>
      </c>
      <c r="L26" s="8" t="s">
        <v>84</v>
      </c>
      <c r="M26" s="8" t="s">
        <v>74</v>
      </c>
      <c r="N26" s="8" t="s">
        <v>112</v>
      </c>
      <c r="O26" s="8" t="s">
        <v>700</v>
      </c>
      <c r="P26" s="14">
        <v>46193</v>
      </c>
      <c r="Q26" s="8" t="s">
        <v>861</v>
      </c>
      <c r="R26" s="8" t="s">
        <v>862</v>
      </c>
      <c r="S26" s="8" t="s">
        <v>860</v>
      </c>
      <c r="T26" s="13">
        <v>5</v>
      </c>
      <c r="U26" s="8" t="s">
        <v>703</v>
      </c>
      <c r="V26" s="8" t="s">
        <v>722</v>
      </c>
      <c r="W26" s="8" t="s">
        <v>705</v>
      </c>
      <c r="X26" s="8" t="s">
        <v>706</v>
      </c>
      <c r="Y26" s="8" t="s">
        <v>746</v>
      </c>
      <c r="Z26" s="8"/>
    </row>
    <row r="27" spans="1:26" ht="24" customHeight="1">
      <c r="A27" s="8">
        <v>126</v>
      </c>
      <c r="B27" s="8" t="s">
        <v>64</v>
      </c>
      <c r="C27" s="8" t="s">
        <v>65</v>
      </c>
      <c r="D27" s="8" t="s">
        <v>863</v>
      </c>
      <c r="E27" s="8" t="s">
        <v>15</v>
      </c>
      <c r="F27" s="8" t="s">
        <v>864</v>
      </c>
      <c r="G27" s="8" t="s">
        <v>128</v>
      </c>
      <c r="H27" s="8" t="s">
        <v>865</v>
      </c>
      <c r="I27" s="8" t="s">
        <v>866</v>
      </c>
      <c r="J27" s="8" t="s">
        <v>867</v>
      </c>
      <c r="K27" s="8" t="s">
        <v>72</v>
      </c>
      <c r="L27" s="8" t="s">
        <v>73</v>
      </c>
      <c r="M27" s="8" t="s">
        <v>74</v>
      </c>
      <c r="N27" s="8" t="s">
        <v>112</v>
      </c>
      <c r="O27" s="8" t="s">
        <v>700</v>
      </c>
      <c r="P27" s="14">
        <v>46193</v>
      </c>
      <c r="Q27" s="8" t="s">
        <v>835</v>
      </c>
      <c r="R27" s="8" t="s">
        <v>868</v>
      </c>
      <c r="S27" s="8" t="s">
        <v>866</v>
      </c>
      <c r="T27" s="13">
        <v>4</v>
      </c>
      <c r="U27" s="8" t="s">
        <v>731</v>
      </c>
      <c r="V27" s="8" t="s">
        <v>722</v>
      </c>
      <c r="W27" s="8" t="s">
        <v>705</v>
      </c>
      <c r="X27" s="8" t="s">
        <v>706</v>
      </c>
      <c r="Y27" s="8" t="s">
        <v>837</v>
      </c>
      <c r="Z27" s="8"/>
    </row>
    <row r="28" spans="1:26" ht="24" customHeight="1">
      <c r="A28" s="8">
        <v>127</v>
      </c>
      <c r="B28" s="8" t="s">
        <v>64</v>
      </c>
      <c r="C28" s="8" t="s">
        <v>65</v>
      </c>
      <c r="D28" s="8" t="s">
        <v>869</v>
      </c>
      <c r="E28" s="8" t="s">
        <v>9</v>
      </c>
      <c r="F28" s="8" t="s">
        <v>870</v>
      </c>
      <c r="G28" s="8" t="s">
        <v>710</v>
      </c>
      <c r="H28" s="8" t="s">
        <v>871</v>
      </c>
      <c r="I28" s="8" t="s">
        <v>872</v>
      </c>
      <c r="J28" s="8" t="s">
        <v>873</v>
      </c>
      <c r="K28" s="8" t="s">
        <v>72</v>
      </c>
      <c r="L28" s="8" t="s">
        <v>73</v>
      </c>
      <c r="M28" s="8" t="s">
        <v>74</v>
      </c>
      <c r="N28" s="8" t="s">
        <v>112</v>
      </c>
      <c r="O28" s="8" t="s">
        <v>700</v>
      </c>
      <c r="P28" s="14">
        <v>46193</v>
      </c>
      <c r="Q28" s="8" t="s">
        <v>874</v>
      </c>
      <c r="R28" s="8" t="s">
        <v>875</v>
      </c>
      <c r="S28" s="8" t="s">
        <v>872</v>
      </c>
      <c r="T28" s="13">
        <v>4</v>
      </c>
      <c r="U28" s="8" t="s">
        <v>731</v>
      </c>
      <c r="V28" s="8" t="s">
        <v>722</v>
      </c>
      <c r="W28" s="8" t="s">
        <v>705</v>
      </c>
      <c r="X28" s="8" t="s">
        <v>706</v>
      </c>
      <c r="Y28" s="8" t="s">
        <v>837</v>
      </c>
      <c r="Z28" s="8"/>
    </row>
    <row r="29" spans="1:26" ht="24" customHeight="1">
      <c r="A29" s="8">
        <v>128</v>
      </c>
      <c r="B29" s="8" t="s">
        <v>64</v>
      </c>
      <c r="C29" s="8" t="s">
        <v>65</v>
      </c>
      <c r="D29" s="8" t="s">
        <v>876</v>
      </c>
      <c r="E29" s="8" t="s">
        <v>11</v>
      </c>
      <c r="F29" s="8" t="s">
        <v>877</v>
      </c>
      <c r="G29" s="8" t="s">
        <v>878</v>
      </c>
      <c r="H29" s="8" t="s">
        <v>879</v>
      </c>
      <c r="I29" s="8" t="s">
        <v>880</v>
      </c>
      <c r="J29" s="8" t="s">
        <v>881</v>
      </c>
      <c r="K29" s="8" t="s">
        <v>882</v>
      </c>
      <c r="L29" s="8" t="s">
        <v>73</v>
      </c>
      <c r="M29" s="8" t="s">
        <v>74</v>
      </c>
      <c r="N29" s="8" t="s">
        <v>112</v>
      </c>
      <c r="O29" s="8" t="s">
        <v>700</v>
      </c>
      <c r="P29" s="14">
        <v>46193</v>
      </c>
      <c r="Q29" s="8" t="s">
        <v>883</v>
      </c>
      <c r="R29" s="8" t="s">
        <v>884</v>
      </c>
      <c r="S29" s="8" t="s">
        <v>885</v>
      </c>
      <c r="T29" s="13">
        <v>5</v>
      </c>
      <c r="U29" s="8" t="s">
        <v>703</v>
      </c>
      <c r="V29" s="8" t="s">
        <v>886</v>
      </c>
      <c r="W29" s="8" t="s">
        <v>705</v>
      </c>
      <c r="X29" s="8" t="s">
        <v>706</v>
      </c>
      <c r="Y29" s="8" t="s">
        <v>887</v>
      </c>
      <c r="Z29" s="8"/>
    </row>
    <row r="30" spans="1:26" ht="24" customHeight="1">
      <c r="A30" s="8">
        <v>129</v>
      </c>
      <c r="B30" s="8" t="s">
        <v>64</v>
      </c>
      <c r="C30" s="8" t="s">
        <v>65</v>
      </c>
      <c r="D30" s="8" t="s">
        <v>888</v>
      </c>
      <c r="E30" s="8" t="s">
        <v>11</v>
      </c>
      <c r="F30" s="8" t="s">
        <v>889</v>
      </c>
      <c r="G30" s="8" t="s">
        <v>878</v>
      </c>
      <c r="H30" s="8" t="s">
        <v>890</v>
      </c>
      <c r="I30" s="8" t="s">
        <v>891</v>
      </c>
      <c r="J30" s="8" t="s">
        <v>892</v>
      </c>
      <c r="K30" s="8" t="s">
        <v>72</v>
      </c>
      <c r="L30" s="8" t="s">
        <v>73</v>
      </c>
      <c r="M30" s="8" t="s">
        <v>74</v>
      </c>
      <c r="N30" s="8" t="s">
        <v>112</v>
      </c>
      <c r="O30" s="8" t="s">
        <v>700</v>
      </c>
      <c r="P30" s="14">
        <v>46193</v>
      </c>
      <c r="Q30" s="8" t="s">
        <v>893</v>
      </c>
      <c r="R30" s="8" t="s">
        <v>894</v>
      </c>
      <c r="S30" s="8" t="s">
        <v>895</v>
      </c>
      <c r="T30" s="13">
        <v>5</v>
      </c>
      <c r="U30" s="8" t="s">
        <v>703</v>
      </c>
      <c r="V30" s="8" t="s">
        <v>886</v>
      </c>
      <c r="W30" s="8" t="s">
        <v>705</v>
      </c>
      <c r="X30" s="8" t="s">
        <v>706</v>
      </c>
      <c r="Y30" s="8" t="s">
        <v>896</v>
      </c>
      <c r="Z30" s="8" t="s">
        <v>892</v>
      </c>
    </row>
    <row r="31" spans="1:26" ht="24" customHeight="1">
      <c r="A31" s="8">
        <v>130</v>
      </c>
      <c r="B31" s="8" t="s">
        <v>64</v>
      </c>
      <c r="C31" s="8" t="s">
        <v>132</v>
      </c>
      <c r="D31" s="8" t="s">
        <v>897</v>
      </c>
      <c r="E31" s="8" t="s">
        <v>11</v>
      </c>
      <c r="F31" s="8" t="s">
        <v>898</v>
      </c>
      <c r="G31" s="8" t="s">
        <v>263</v>
      </c>
      <c r="H31" s="8" t="s">
        <v>796</v>
      </c>
      <c r="I31" s="8" t="s">
        <v>899</v>
      </c>
      <c r="J31" s="8"/>
      <c r="K31" s="8" t="s">
        <v>72</v>
      </c>
      <c r="L31" s="8" t="s">
        <v>84</v>
      </c>
      <c r="M31" s="8" t="s">
        <v>74</v>
      </c>
      <c r="N31" s="8" t="s">
        <v>112</v>
      </c>
      <c r="O31" s="8" t="s">
        <v>700</v>
      </c>
      <c r="P31" s="14">
        <v>46193</v>
      </c>
      <c r="Q31" s="8" t="s">
        <v>900</v>
      </c>
      <c r="R31" s="8" t="s">
        <v>901</v>
      </c>
      <c r="S31" s="8" t="s">
        <v>899</v>
      </c>
      <c r="T31" s="13">
        <v>5</v>
      </c>
      <c r="U31" s="8" t="s">
        <v>703</v>
      </c>
      <c r="V31" s="8" t="s">
        <v>886</v>
      </c>
      <c r="W31" s="8" t="s">
        <v>705</v>
      </c>
      <c r="X31" s="8" t="s">
        <v>706</v>
      </c>
      <c r="Y31" s="8" t="s">
        <v>746</v>
      </c>
      <c r="Z31" s="8"/>
    </row>
    <row r="32" spans="1:26" ht="24" customHeight="1">
      <c r="A32" s="8">
        <v>131</v>
      </c>
      <c r="B32" s="8" t="s">
        <v>64</v>
      </c>
      <c r="C32" s="8" t="s">
        <v>132</v>
      </c>
      <c r="D32" s="8" t="s">
        <v>902</v>
      </c>
      <c r="E32" s="8" t="s">
        <v>11</v>
      </c>
      <c r="F32" s="8" t="s">
        <v>903</v>
      </c>
      <c r="G32" s="8" t="s">
        <v>263</v>
      </c>
      <c r="H32" s="8" t="s">
        <v>904</v>
      </c>
      <c r="I32" s="8" t="s">
        <v>905</v>
      </c>
      <c r="J32" s="8"/>
      <c r="K32" s="8" t="s">
        <v>72</v>
      </c>
      <c r="L32" s="8" t="s">
        <v>84</v>
      </c>
      <c r="M32" s="8" t="s">
        <v>74</v>
      </c>
      <c r="N32" s="8" t="s">
        <v>112</v>
      </c>
      <c r="O32" s="8" t="s">
        <v>700</v>
      </c>
      <c r="P32" s="14">
        <v>46193</v>
      </c>
      <c r="Q32" s="8" t="s">
        <v>906</v>
      </c>
      <c r="R32" s="8" t="s">
        <v>907</v>
      </c>
      <c r="S32" s="8" t="s">
        <v>905</v>
      </c>
      <c r="T32" s="13">
        <v>4</v>
      </c>
      <c r="U32" s="8" t="s">
        <v>731</v>
      </c>
      <c r="V32" s="8" t="s">
        <v>886</v>
      </c>
      <c r="W32" s="8" t="s">
        <v>732</v>
      </c>
      <c r="X32" s="8" t="s">
        <v>706</v>
      </c>
      <c r="Y32" s="8" t="s">
        <v>733</v>
      </c>
      <c r="Z32" s="8"/>
    </row>
    <row r="33" spans="1:26" ht="24" customHeight="1">
      <c r="A33" s="8">
        <v>132</v>
      </c>
      <c r="B33" s="8" t="s">
        <v>64</v>
      </c>
      <c r="C33" s="8" t="s">
        <v>65</v>
      </c>
      <c r="D33" s="8" t="s">
        <v>908</v>
      </c>
      <c r="E33" s="8" t="s">
        <v>11</v>
      </c>
      <c r="F33" s="8" t="s">
        <v>909</v>
      </c>
      <c r="G33" s="8" t="s">
        <v>122</v>
      </c>
      <c r="H33" s="8" t="s">
        <v>910</v>
      </c>
      <c r="I33" s="8" t="s">
        <v>911</v>
      </c>
      <c r="J33" s="8" t="s">
        <v>912</v>
      </c>
      <c r="K33" s="8" t="s">
        <v>72</v>
      </c>
      <c r="L33" s="8" t="s">
        <v>913</v>
      </c>
      <c r="M33" s="8" t="s">
        <v>74</v>
      </c>
      <c r="N33" s="8" t="s">
        <v>112</v>
      </c>
      <c r="O33" s="8" t="s">
        <v>700</v>
      </c>
      <c r="P33" s="14">
        <v>46193</v>
      </c>
      <c r="Q33" s="8" t="s">
        <v>914</v>
      </c>
      <c r="R33" s="8" t="s">
        <v>915</v>
      </c>
      <c r="S33" s="8" t="s">
        <v>912</v>
      </c>
      <c r="T33" s="13">
        <v>5</v>
      </c>
      <c r="U33" s="8" t="s">
        <v>703</v>
      </c>
      <c r="V33" s="8" t="s">
        <v>886</v>
      </c>
      <c r="W33" s="8" t="s">
        <v>705</v>
      </c>
      <c r="X33" s="8" t="s">
        <v>706</v>
      </c>
      <c r="Y33" s="8" t="s">
        <v>916</v>
      </c>
      <c r="Z33" s="8"/>
    </row>
    <row r="34" spans="1:26" ht="24" customHeight="1">
      <c r="A34" s="8">
        <v>133</v>
      </c>
      <c r="B34" s="8" t="s">
        <v>64</v>
      </c>
      <c r="C34" s="8" t="s">
        <v>132</v>
      </c>
      <c r="D34" s="8" t="s">
        <v>917</v>
      </c>
      <c r="E34" s="8" t="s">
        <v>11</v>
      </c>
      <c r="F34" s="8" t="s">
        <v>918</v>
      </c>
      <c r="G34" s="8" t="s">
        <v>710</v>
      </c>
      <c r="H34" s="8" t="s">
        <v>323</v>
      </c>
      <c r="I34" s="8" t="s">
        <v>919</v>
      </c>
      <c r="J34" s="8" t="s">
        <v>920</v>
      </c>
      <c r="K34" s="8" t="s">
        <v>72</v>
      </c>
      <c r="L34" s="8" t="s">
        <v>921</v>
      </c>
      <c r="M34" s="8" t="s">
        <v>74</v>
      </c>
      <c r="N34" s="8" t="s">
        <v>112</v>
      </c>
      <c r="O34" s="8" t="s">
        <v>700</v>
      </c>
      <c r="P34" s="14">
        <v>46193</v>
      </c>
      <c r="Q34" s="8" t="s">
        <v>922</v>
      </c>
      <c r="R34" s="8" t="s">
        <v>923</v>
      </c>
      <c r="S34" s="8" t="s">
        <v>919</v>
      </c>
      <c r="T34" s="13">
        <v>4</v>
      </c>
      <c r="U34" s="8" t="s">
        <v>731</v>
      </c>
      <c r="V34" s="8" t="s">
        <v>886</v>
      </c>
      <c r="W34" s="8" t="s">
        <v>705</v>
      </c>
      <c r="X34" s="8" t="s">
        <v>706</v>
      </c>
      <c r="Y34" s="8" t="s">
        <v>924</v>
      </c>
      <c r="Z34" s="8"/>
    </row>
    <row r="35" spans="1:26" ht="24" customHeight="1">
      <c r="A35" s="8">
        <v>134</v>
      </c>
      <c r="B35" s="8" t="s">
        <v>64</v>
      </c>
      <c r="C35" s="8" t="s">
        <v>132</v>
      </c>
      <c r="D35" s="8" t="s">
        <v>925</v>
      </c>
      <c r="E35" s="8" t="s">
        <v>11</v>
      </c>
      <c r="F35" s="8" t="s">
        <v>926</v>
      </c>
      <c r="G35" s="8" t="s">
        <v>263</v>
      </c>
      <c r="H35" s="8" t="s">
        <v>927</v>
      </c>
      <c r="I35" s="8" t="s">
        <v>928</v>
      </c>
      <c r="J35" s="8"/>
      <c r="K35" s="8" t="s">
        <v>72</v>
      </c>
      <c r="L35" s="8" t="s">
        <v>84</v>
      </c>
      <c r="M35" s="8" t="s">
        <v>74</v>
      </c>
      <c r="N35" s="8" t="s">
        <v>112</v>
      </c>
      <c r="O35" s="8" t="s">
        <v>700</v>
      </c>
      <c r="P35" s="14">
        <v>46193</v>
      </c>
      <c r="Q35" s="8" t="s">
        <v>929</v>
      </c>
      <c r="R35" s="8" t="s">
        <v>930</v>
      </c>
      <c r="S35" s="8" t="s">
        <v>928</v>
      </c>
      <c r="T35" s="13">
        <v>4</v>
      </c>
      <c r="U35" s="8" t="s">
        <v>731</v>
      </c>
      <c r="V35" s="8" t="s">
        <v>886</v>
      </c>
      <c r="W35" s="8" t="s">
        <v>732</v>
      </c>
      <c r="X35" s="8" t="s">
        <v>706</v>
      </c>
      <c r="Y35" s="8" t="s">
        <v>931</v>
      </c>
      <c r="Z35" s="8"/>
    </row>
    <row r="36" spans="1:26" ht="24" customHeight="1">
      <c r="A36" s="8">
        <v>135</v>
      </c>
      <c r="B36" s="8" t="s">
        <v>64</v>
      </c>
      <c r="C36" s="8" t="s">
        <v>65</v>
      </c>
      <c r="D36" s="8" t="s">
        <v>932</v>
      </c>
      <c r="E36" s="8" t="s">
        <v>11</v>
      </c>
      <c r="F36" s="8" t="s">
        <v>933</v>
      </c>
      <c r="G36" s="8" t="s">
        <v>710</v>
      </c>
      <c r="H36" s="8" t="s">
        <v>934</v>
      </c>
      <c r="I36" s="8" t="s">
        <v>935</v>
      </c>
      <c r="J36" s="8"/>
      <c r="K36" s="8" t="s">
        <v>72</v>
      </c>
      <c r="L36" s="8" t="s">
        <v>84</v>
      </c>
      <c r="M36" s="8" t="s">
        <v>74</v>
      </c>
      <c r="N36" s="8" t="s">
        <v>112</v>
      </c>
      <c r="O36" s="8" t="s">
        <v>700</v>
      </c>
      <c r="P36" s="14">
        <v>46193</v>
      </c>
      <c r="Q36" s="8" t="s">
        <v>936</v>
      </c>
      <c r="R36" s="8" t="s">
        <v>937</v>
      </c>
      <c r="S36" s="8" t="s">
        <v>935</v>
      </c>
      <c r="T36" s="13">
        <v>5</v>
      </c>
      <c r="U36" s="8" t="s">
        <v>703</v>
      </c>
      <c r="V36" s="8" t="s">
        <v>886</v>
      </c>
      <c r="W36" s="8" t="s">
        <v>705</v>
      </c>
      <c r="X36" s="8" t="s">
        <v>706</v>
      </c>
      <c r="Y36" s="8" t="s">
        <v>746</v>
      </c>
      <c r="Z36" s="8"/>
    </row>
    <row r="37" spans="1:26" ht="24" customHeight="1">
      <c r="A37" s="8">
        <v>136</v>
      </c>
      <c r="B37" s="8" t="s">
        <v>64</v>
      </c>
      <c r="C37" s="8" t="s">
        <v>65</v>
      </c>
      <c r="D37" s="8" t="s">
        <v>938</v>
      </c>
      <c r="E37" s="8" t="s">
        <v>7</v>
      </c>
      <c r="F37" s="8" t="s">
        <v>939</v>
      </c>
      <c r="G37" s="8" t="s">
        <v>141</v>
      </c>
      <c r="H37" s="8" t="s">
        <v>940</v>
      </c>
      <c r="I37" s="8" t="s">
        <v>941</v>
      </c>
      <c r="J37" s="8" t="s">
        <v>942</v>
      </c>
      <c r="K37" s="8" t="s">
        <v>72</v>
      </c>
      <c r="L37" s="8" t="s">
        <v>73</v>
      </c>
      <c r="M37" s="8" t="s">
        <v>74</v>
      </c>
      <c r="N37" s="8" t="s">
        <v>112</v>
      </c>
      <c r="O37" s="8" t="s">
        <v>700</v>
      </c>
      <c r="P37" s="14">
        <v>46193</v>
      </c>
      <c r="Q37" s="8" t="s">
        <v>943</v>
      </c>
      <c r="R37" s="8" t="s">
        <v>944</v>
      </c>
      <c r="S37" s="8" t="s">
        <v>941</v>
      </c>
      <c r="T37" s="13">
        <v>5</v>
      </c>
      <c r="U37" s="8" t="s">
        <v>703</v>
      </c>
      <c r="V37" s="8" t="s">
        <v>704</v>
      </c>
      <c r="W37" s="8" t="s">
        <v>705</v>
      </c>
      <c r="X37" s="8" t="s">
        <v>706</v>
      </c>
      <c r="Y37" s="8" t="s">
        <v>837</v>
      </c>
      <c r="Z37" s="8"/>
    </row>
    <row r="38" spans="1:26" ht="24" customHeight="1">
      <c r="A38" s="8">
        <v>137</v>
      </c>
      <c r="B38" s="8" t="s">
        <v>64</v>
      </c>
      <c r="C38" s="8" t="s">
        <v>132</v>
      </c>
      <c r="D38" s="8" t="s">
        <v>646</v>
      </c>
      <c r="E38" s="8" t="s">
        <v>15</v>
      </c>
      <c r="F38" s="8" t="s">
        <v>945</v>
      </c>
      <c r="G38" s="8" t="s">
        <v>946</v>
      </c>
      <c r="H38" s="8" t="s">
        <v>947</v>
      </c>
      <c r="I38" s="8" t="s">
        <v>948</v>
      </c>
      <c r="J38" s="8"/>
      <c r="K38" s="8" t="s">
        <v>72</v>
      </c>
      <c r="L38" s="8" t="s">
        <v>949</v>
      </c>
      <c r="M38" s="8" t="s">
        <v>74</v>
      </c>
      <c r="N38" s="8" t="s">
        <v>75</v>
      </c>
      <c r="O38" s="8" t="s">
        <v>700</v>
      </c>
      <c r="P38" s="14">
        <v>46193</v>
      </c>
      <c r="Q38" s="8" t="s">
        <v>950</v>
      </c>
      <c r="R38" s="8" t="s">
        <v>951</v>
      </c>
      <c r="S38" s="8" t="s">
        <v>948</v>
      </c>
      <c r="T38" s="13">
        <v>4</v>
      </c>
      <c r="U38" s="8" t="s">
        <v>731</v>
      </c>
      <c r="V38" s="8" t="s">
        <v>704</v>
      </c>
      <c r="W38" s="8" t="s">
        <v>705</v>
      </c>
      <c r="X38" s="8" t="s">
        <v>706</v>
      </c>
      <c r="Y38" s="8" t="s">
        <v>952</v>
      </c>
      <c r="Z38" s="8"/>
    </row>
    <row r="39" spans="1:26" ht="24" customHeight="1">
      <c r="A39" s="8">
        <v>138</v>
      </c>
      <c r="B39" s="8" t="s">
        <v>64</v>
      </c>
      <c r="C39" s="8" t="s">
        <v>65</v>
      </c>
      <c r="D39" s="8" t="s">
        <v>953</v>
      </c>
      <c r="E39" s="8" t="s">
        <v>7</v>
      </c>
      <c r="F39" s="8" t="s">
        <v>954</v>
      </c>
      <c r="G39" s="8" t="s">
        <v>141</v>
      </c>
      <c r="H39" s="8" t="s">
        <v>955</v>
      </c>
      <c r="I39" s="8" t="s">
        <v>956</v>
      </c>
      <c r="J39" s="8" t="s">
        <v>957</v>
      </c>
      <c r="K39" s="8" t="s">
        <v>72</v>
      </c>
      <c r="L39" s="8" t="s">
        <v>813</v>
      </c>
      <c r="M39" s="8" t="s">
        <v>74</v>
      </c>
      <c r="N39" s="8" t="s">
        <v>112</v>
      </c>
      <c r="O39" s="8" t="s">
        <v>700</v>
      </c>
      <c r="P39" s="14">
        <v>46193</v>
      </c>
      <c r="Q39" s="8" t="s">
        <v>958</v>
      </c>
      <c r="R39" s="8" t="s">
        <v>959</v>
      </c>
      <c r="S39" s="8" t="s">
        <v>960</v>
      </c>
      <c r="T39" s="13">
        <v>5</v>
      </c>
      <c r="U39" s="8" t="s">
        <v>703</v>
      </c>
      <c r="V39" s="8" t="s">
        <v>704</v>
      </c>
      <c r="W39" s="8" t="s">
        <v>705</v>
      </c>
      <c r="X39" s="8" t="s">
        <v>706</v>
      </c>
      <c r="Y39" s="8" t="s">
        <v>961</v>
      </c>
      <c r="Z39" s="8" t="s">
        <v>962</v>
      </c>
    </row>
    <row r="40" spans="1:26" ht="24" customHeight="1">
      <c r="A40" s="8">
        <v>139</v>
      </c>
      <c r="B40" s="8" t="s">
        <v>64</v>
      </c>
      <c r="C40" s="8" t="s">
        <v>132</v>
      </c>
      <c r="D40" s="8" t="s">
        <v>963</v>
      </c>
      <c r="E40" s="8" t="s">
        <v>7</v>
      </c>
      <c r="F40" s="8" t="s">
        <v>964</v>
      </c>
      <c r="G40" s="8" t="s">
        <v>176</v>
      </c>
      <c r="H40" s="8" t="s">
        <v>965</v>
      </c>
      <c r="I40" s="8" t="s">
        <v>966</v>
      </c>
      <c r="J40" s="8"/>
      <c r="K40" s="8" t="s">
        <v>72</v>
      </c>
      <c r="L40" s="8" t="s">
        <v>84</v>
      </c>
      <c r="M40" s="8" t="s">
        <v>74</v>
      </c>
      <c r="N40" s="8" t="s">
        <v>112</v>
      </c>
      <c r="O40" s="8" t="s">
        <v>700</v>
      </c>
      <c r="P40" s="14">
        <v>46193</v>
      </c>
      <c r="Q40" s="8" t="s">
        <v>967</v>
      </c>
      <c r="R40" s="8" t="s">
        <v>968</v>
      </c>
      <c r="S40" s="8" t="s">
        <v>966</v>
      </c>
      <c r="T40" s="13">
        <v>4</v>
      </c>
      <c r="U40" s="8" t="s">
        <v>731</v>
      </c>
      <c r="V40" s="8" t="s">
        <v>704</v>
      </c>
      <c r="W40" s="8" t="s">
        <v>732</v>
      </c>
      <c r="X40" s="8" t="s">
        <v>706</v>
      </c>
      <c r="Y40" s="8" t="s">
        <v>733</v>
      </c>
      <c r="Z40" s="8"/>
    </row>
    <row r="41" spans="1:26" ht="24" customHeight="1">
      <c r="A41" s="8">
        <v>140</v>
      </c>
      <c r="B41" s="8" t="s">
        <v>64</v>
      </c>
      <c r="C41" s="8" t="s">
        <v>65</v>
      </c>
      <c r="D41" s="8" t="s">
        <v>969</v>
      </c>
      <c r="E41" s="8" t="s">
        <v>7</v>
      </c>
      <c r="F41" s="8" t="s">
        <v>970</v>
      </c>
      <c r="G41" s="8" t="s">
        <v>710</v>
      </c>
      <c r="H41" s="8" t="s">
        <v>971</v>
      </c>
      <c r="I41" s="8" t="s">
        <v>972</v>
      </c>
      <c r="J41" s="8"/>
      <c r="K41" s="8" t="s">
        <v>72</v>
      </c>
      <c r="L41" s="8" t="s">
        <v>84</v>
      </c>
      <c r="M41" s="8" t="s">
        <v>74</v>
      </c>
      <c r="N41" s="8" t="s">
        <v>112</v>
      </c>
      <c r="O41" s="8" t="s">
        <v>700</v>
      </c>
      <c r="P41" s="14">
        <v>46193</v>
      </c>
      <c r="Q41" s="8" t="s">
        <v>713</v>
      </c>
      <c r="R41" s="8" t="s">
        <v>973</v>
      </c>
      <c r="S41" s="8" t="s">
        <v>972</v>
      </c>
      <c r="T41" s="13">
        <v>5</v>
      </c>
      <c r="U41" s="8" t="s">
        <v>703</v>
      </c>
      <c r="V41" s="8" t="s">
        <v>704</v>
      </c>
      <c r="W41" s="8" t="s">
        <v>705</v>
      </c>
      <c r="X41" s="8" t="s">
        <v>706</v>
      </c>
      <c r="Y41" s="8" t="s">
        <v>746</v>
      </c>
      <c r="Z41" s="8"/>
    </row>
    <row r="42" spans="1:26" ht="24" customHeight="1">
      <c r="A42" s="8">
        <v>141</v>
      </c>
      <c r="B42" s="8" t="s">
        <v>64</v>
      </c>
      <c r="C42" s="8" t="s">
        <v>132</v>
      </c>
      <c r="D42" s="8" t="s">
        <v>974</v>
      </c>
      <c r="E42" s="8" t="s">
        <v>15</v>
      </c>
      <c r="F42" s="8" t="s">
        <v>975</v>
      </c>
      <c r="G42" s="8" t="s">
        <v>263</v>
      </c>
      <c r="H42" s="8" t="s">
        <v>796</v>
      </c>
      <c r="I42" s="8" t="s">
        <v>976</v>
      </c>
      <c r="J42" s="8" t="s">
        <v>977</v>
      </c>
      <c r="K42" s="8" t="s">
        <v>72</v>
      </c>
      <c r="L42" s="8" t="s">
        <v>73</v>
      </c>
      <c r="M42" s="8" t="s">
        <v>74</v>
      </c>
      <c r="N42" s="8" t="s">
        <v>112</v>
      </c>
      <c r="O42" s="8" t="s">
        <v>700</v>
      </c>
      <c r="P42" s="14">
        <v>46193</v>
      </c>
      <c r="Q42" s="8" t="s">
        <v>978</v>
      </c>
      <c r="R42" s="8" t="s">
        <v>979</v>
      </c>
      <c r="S42" s="8" t="s">
        <v>976</v>
      </c>
      <c r="T42" s="13">
        <v>4</v>
      </c>
      <c r="U42" s="8" t="s">
        <v>731</v>
      </c>
      <c r="V42" s="8" t="s">
        <v>704</v>
      </c>
      <c r="W42" s="8" t="s">
        <v>705</v>
      </c>
      <c r="X42" s="8" t="s">
        <v>706</v>
      </c>
      <c r="Y42" s="8" t="s">
        <v>980</v>
      </c>
      <c r="Z42" s="8"/>
    </row>
    <row r="43" spans="1:26" ht="24" customHeight="1">
      <c r="A43" s="8">
        <v>142</v>
      </c>
      <c r="B43" s="8" t="s">
        <v>739</v>
      </c>
      <c r="C43" s="8" t="s">
        <v>132</v>
      </c>
      <c r="D43" s="8" t="s">
        <v>981</v>
      </c>
      <c r="E43" s="8" t="s">
        <v>748</v>
      </c>
      <c r="F43" s="8" t="s">
        <v>982</v>
      </c>
      <c r="G43" s="8" t="s">
        <v>122</v>
      </c>
      <c r="H43" s="8" t="s">
        <v>218</v>
      </c>
      <c r="I43" s="8" t="s">
        <v>983</v>
      </c>
      <c r="J43" s="8" t="s">
        <v>984</v>
      </c>
      <c r="K43" s="8" t="s">
        <v>72</v>
      </c>
      <c r="L43" s="8" t="s">
        <v>73</v>
      </c>
      <c r="M43" s="8" t="s">
        <v>74</v>
      </c>
      <c r="N43" s="8" t="s">
        <v>112</v>
      </c>
      <c r="O43" s="8" t="s">
        <v>700</v>
      </c>
      <c r="P43" s="14">
        <v>46193</v>
      </c>
      <c r="Q43" s="8" t="s">
        <v>985</v>
      </c>
      <c r="R43" s="8" t="s">
        <v>986</v>
      </c>
      <c r="S43" s="8" t="s">
        <v>983</v>
      </c>
      <c r="T43" s="13">
        <v>4</v>
      </c>
      <c r="U43" s="8" t="s">
        <v>731</v>
      </c>
      <c r="V43" s="8" t="s">
        <v>745</v>
      </c>
      <c r="W43" s="8" t="s">
        <v>705</v>
      </c>
      <c r="X43" s="8" t="s">
        <v>706</v>
      </c>
      <c r="Y43" s="8" t="s">
        <v>837</v>
      </c>
      <c r="Z43" s="8"/>
    </row>
    <row r="44" spans="1:26" ht="24" customHeight="1">
      <c r="A44" s="8">
        <v>143</v>
      </c>
      <c r="B44" s="8" t="s">
        <v>739</v>
      </c>
      <c r="C44" s="8" t="s">
        <v>132</v>
      </c>
      <c r="D44" s="8" t="s">
        <v>987</v>
      </c>
      <c r="E44" s="8" t="s">
        <v>748</v>
      </c>
      <c r="F44" s="8" t="s">
        <v>988</v>
      </c>
      <c r="G44" s="8" t="s">
        <v>989</v>
      </c>
      <c r="H44" s="8" t="s">
        <v>990</v>
      </c>
      <c r="I44" s="8" t="s">
        <v>991</v>
      </c>
      <c r="J44" s="8" t="s">
        <v>992</v>
      </c>
      <c r="K44" s="8" t="s">
        <v>72</v>
      </c>
      <c r="L44" s="8" t="s">
        <v>993</v>
      </c>
      <c r="M44" s="8" t="s">
        <v>74</v>
      </c>
      <c r="N44" s="8" t="s">
        <v>112</v>
      </c>
      <c r="O44" s="8" t="s">
        <v>700</v>
      </c>
      <c r="P44" s="14">
        <v>46193</v>
      </c>
      <c r="Q44" s="8" t="s">
        <v>994</v>
      </c>
      <c r="R44" s="8" t="s">
        <v>995</v>
      </c>
      <c r="S44" s="8" t="s">
        <v>991</v>
      </c>
      <c r="T44" s="13">
        <v>4</v>
      </c>
      <c r="U44" s="8" t="s">
        <v>731</v>
      </c>
      <c r="V44" s="8" t="s">
        <v>745</v>
      </c>
      <c r="W44" s="8" t="s">
        <v>705</v>
      </c>
      <c r="X44" s="8" t="s">
        <v>706</v>
      </c>
      <c r="Y44" s="8" t="s">
        <v>996</v>
      </c>
      <c r="Z44" s="8"/>
    </row>
    <row r="45" spans="1:26" ht="24" customHeight="1">
      <c r="A45" s="8">
        <v>144</v>
      </c>
      <c r="B45" s="8" t="s">
        <v>739</v>
      </c>
      <c r="C45" s="8" t="s">
        <v>184</v>
      </c>
      <c r="D45" s="8" t="s">
        <v>997</v>
      </c>
      <c r="E45" s="8" t="s">
        <v>748</v>
      </c>
      <c r="F45" s="8" t="s">
        <v>998</v>
      </c>
      <c r="G45" s="8" t="s">
        <v>257</v>
      </c>
      <c r="H45" s="8" t="s">
        <v>999</v>
      </c>
      <c r="I45" s="8" t="s">
        <v>1000</v>
      </c>
      <c r="J45" s="8" t="s">
        <v>1001</v>
      </c>
      <c r="K45" s="8" t="s">
        <v>1002</v>
      </c>
      <c r="L45" s="8" t="s">
        <v>73</v>
      </c>
      <c r="M45" s="8" t="s">
        <v>74</v>
      </c>
      <c r="N45" s="8" t="s">
        <v>112</v>
      </c>
      <c r="O45" s="8" t="s">
        <v>700</v>
      </c>
      <c r="P45" s="14">
        <v>46193</v>
      </c>
      <c r="Q45" s="8" t="s">
        <v>1003</v>
      </c>
      <c r="R45" s="8" t="s">
        <v>1004</v>
      </c>
      <c r="S45" s="8" t="s">
        <v>1001</v>
      </c>
      <c r="T45" s="13">
        <v>3</v>
      </c>
      <c r="U45" s="8" t="s">
        <v>754</v>
      </c>
      <c r="V45" s="8" t="s">
        <v>745</v>
      </c>
      <c r="W45" s="8" t="s">
        <v>705</v>
      </c>
      <c r="X45" s="8" t="s">
        <v>706</v>
      </c>
      <c r="Y45" s="8" t="s">
        <v>1005</v>
      </c>
      <c r="Z45" s="8"/>
    </row>
    <row r="46" spans="1:26" ht="24" customHeight="1">
      <c r="A46" s="8">
        <v>145</v>
      </c>
      <c r="B46" s="8" t="s">
        <v>739</v>
      </c>
      <c r="C46" s="8" t="s">
        <v>132</v>
      </c>
      <c r="D46" s="8" t="s">
        <v>1006</v>
      </c>
      <c r="E46" s="8" t="s">
        <v>748</v>
      </c>
      <c r="F46" s="8" t="s">
        <v>1007</v>
      </c>
      <c r="G46" s="8" t="s">
        <v>257</v>
      </c>
      <c r="H46" s="8" t="s">
        <v>1008</v>
      </c>
      <c r="I46" s="8" t="s">
        <v>1009</v>
      </c>
      <c r="J46" s="8" t="s">
        <v>1010</v>
      </c>
      <c r="K46" s="8" t="s">
        <v>1011</v>
      </c>
      <c r="L46" s="8" t="s">
        <v>73</v>
      </c>
      <c r="M46" s="8" t="s">
        <v>74</v>
      </c>
      <c r="N46" s="8" t="s">
        <v>112</v>
      </c>
      <c r="O46" s="8" t="s">
        <v>700</v>
      </c>
      <c r="P46" s="14">
        <v>46193</v>
      </c>
      <c r="Q46" s="8" t="s">
        <v>1012</v>
      </c>
      <c r="R46" s="8" t="s">
        <v>1013</v>
      </c>
      <c r="S46" s="8" t="s">
        <v>1009</v>
      </c>
      <c r="T46" s="13">
        <v>3</v>
      </c>
      <c r="U46" s="8" t="s">
        <v>754</v>
      </c>
      <c r="V46" s="8" t="s">
        <v>745</v>
      </c>
      <c r="W46" s="8" t="s">
        <v>705</v>
      </c>
      <c r="X46" s="8" t="s">
        <v>706</v>
      </c>
      <c r="Y46" s="8" t="s">
        <v>1014</v>
      </c>
      <c r="Z46" s="8"/>
    </row>
    <row r="47" spans="1:26" ht="24" customHeight="1">
      <c r="A47" s="8">
        <v>146</v>
      </c>
      <c r="B47" s="8" t="s">
        <v>739</v>
      </c>
      <c r="C47" s="8" t="s">
        <v>184</v>
      </c>
      <c r="D47" s="8" t="s">
        <v>1015</v>
      </c>
      <c r="E47" s="8" t="s">
        <v>748</v>
      </c>
      <c r="F47" s="8" t="s">
        <v>1016</v>
      </c>
      <c r="G47" s="8" t="s">
        <v>100</v>
      </c>
      <c r="H47" s="8" t="s">
        <v>1017</v>
      </c>
      <c r="I47" s="8" t="s">
        <v>1018</v>
      </c>
      <c r="J47" s="8" t="s">
        <v>1019</v>
      </c>
      <c r="K47" s="8" t="s">
        <v>72</v>
      </c>
      <c r="L47" s="8" t="s">
        <v>73</v>
      </c>
      <c r="M47" s="8" t="s">
        <v>74</v>
      </c>
      <c r="N47" s="8" t="s">
        <v>112</v>
      </c>
      <c r="O47" s="8" t="s">
        <v>700</v>
      </c>
      <c r="P47" s="14">
        <v>46193</v>
      </c>
      <c r="Q47" s="8" t="s">
        <v>1020</v>
      </c>
      <c r="R47" s="8" t="s">
        <v>1021</v>
      </c>
      <c r="S47" s="8" t="s">
        <v>1018</v>
      </c>
      <c r="T47" s="13">
        <v>3</v>
      </c>
      <c r="U47" s="8" t="s">
        <v>754</v>
      </c>
      <c r="V47" s="8" t="s">
        <v>745</v>
      </c>
      <c r="W47" s="8" t="s">
        <v>705</v>
      </c>
      <c r="X47" s="8" t="s">
        <v>706</v>
      </c>
      <c r="Y47" s="8" t="s">
        <v>1022</v>
      </c>
      <c r="Z47" s="8"/>
    </row>
    <row r="48" spans="1:26" ht="24" customHeight="1">
      <c r="A48" s="8">
        <v>147</v>
      </c>
      <c r="B48" s="8" t="s">
        <v>739</v>
      </c>
      <c r="C48" s="8" t="s">
        <v>132</v>
      </c>
      <c r="D48" s="8" t="s">
        <v>1023</v>
      </c>
      <c r="E48" s="8" t="s">
        <v>748</v>
      </c>
      <c r="F48" s="8" t="s">
        <v>1024</v>
      </c>
      <c r="G48" s="8" t="s">
        <v>81</v>
      </c>
      <c r="H48" s="8" t="s">
        <v>1025</v>
      </c>
      <c r="I48" s="8" t="s">
        <v>1026</v>
      </c>
      <c r="J48" s="8" t="s">
        <v>1027</v>
      </c>
      <c r="K48" s="8" t="s">
        <v>72</v>
      </c>
      <c r="L48" s="8" t="s">
        <v>73</v>
      </c>
      <c r="M48" s="8" t="s">
        <v>74</v>
      </c>
      <c r="N48" s="8" t="s">
        <v>112</v>
      </c>
      <c r="O48" s="8" t="s">
        <v>700</v>
      </c>
      <c r="P48" s="14">
        <v>46193</v>
      </c>
      <c r="Q48" s="8" t="s">
        <v>1028</v>
      </c>
      <c r="R48" s="8" t="s">
        <v>1029</v>
      </c>
      <c r="S48" s="8" t="s">
        <v>1026</v>
      </c>
      <c r="T48" s="13">
        <v>4</v>
      </c>
      <c r="U48" s="8" t="s">
        <v>731</v>
      </c>
      <c r="V48" s="8" t="s">
        <v>745</v>
      </c>
      <c r="W48" s="8" t="s">
        <v>705</v>
      </c>
      <c r="X48" s="8" t="s">
        <v>706</v>
      </c>
      <c r="Y48" s="8" t="s">
        <v>1014</v>
      </c>
      <c r="Z48" s="8"/>
    </row>
    <row r="49" spans="1:26" ht="24" customHeight="1">
      <c r="A49" s="8">
        <v>148</v>
      </c>
      <c r="B49" s="8" t="s">
        <v>739</v>
      </c>
      <c r="C49" s="8" t="s">
        <v>132</v>
      </c>
      <c r="D49" s="8" t="s">
        <v>1030</v>
      </c>
      <c r="E49" s="8" t="s">
        <v>748</v>
      </c>
      <c r="F49" s="8" t="s">
        <v>1031</v>
      </c>
      <c r="G49" s="8" t="s">
        <v>122</v>
      </c>
      <c r="H49" s="8" t="s">
        <v>218</v>
      </c>
      <c r="I49" s="8" t="s">
        <v>1032</v>
      </c>
      <c r="J49" s="8" t="s">
        <v>1033</v>
      </c>
      <c r="K49" s="8" t="s">
        <v>72</v>
      </c>
      <c r="L49" s="8" t="s">
        <v>73</v>
      </c>
      <c r="M49" s="8" t="s">
        <v>74</v>
      </c>
      <c r="N49" s="8" t="s">
        <v>112</v>
      </c>
      <c r="O49" s="8" t="s">
        <v>700</v>
      </c>
      <c r="P49" s="14">
        <v>46193</v>
      </c>
      <c r="Q49" s="8" t="s">
        <v>1034</v>
      </c>
      <c r="R49" s="8" t="s">
        <v>1035</v>
      </c>
      <c r="S49" s="8" t="s">
        <v>1032</v>
      </c>
      <c r="T49" s="13">
        <v>4</v>
      </c>
      <c r="U49" s="8" t="s">
        <v>731</v>
      </c>
      <c r="V49" s="8" t="s">
        <v>745</v>
      </c>
      <c r="W49" s="8" t="s">
        <v>705</v>
      </c>
      <c r="X49" s="8" t="s">
        <v>706</v>
      </c>
      <c r="Y49" s="8" t="s">
        <v>1036</v>
      </c>
      <c r="Z49" s="8"/>
    </row>
    <row r="50" spans="1:26" ht="24" customHeight="1">
      <c r="A50" s="8">
        <v>149</v>
      </c>
      <c r="B50" s="8" t="s">
        <v>64</v>
      </c>
      <c r="C50" s="8" t="s">
        <v>65</v>
      </c>
      <c r="D50" s="8" t="s">
        <v>1037</v>
      </c>
      <c r="E50" s="8" t="s">
        <v>7</v>
      </c>
      <c r="F50" s="8" t="s">
        <v>1038</v>
      </c>
      <c r="G50" s="8" t="s">
        <v>487</v>
      </c>
      <c r="H50" s="8" t="s">
        <v>488</v>
      </c>
      <c r="I50" s="8" t="s">
        <v>1039</v>
      </c>
      <c r="J50" s="8"/>
      <c r="K50" s="8" t="s">
        <v>72</v>
      </c>
      <c r="L50" s="8" t="s">
        <v>84</v>
      </c>
      <c r="M50" s="8" t="s">
        <v>74</v>
      </c>
      <c r="N50" s="8" t="s">
        <v>112</v>
      </c>
      <c r="O50" s="8" t="s">
        <v>700</v>
      </c>
      <c r="P50" s="14">
        <v>46193</v>
      </c>
      <c r="Q50" s="8" t="s">
        <v>1040</v>
      </c>
      <c r="R50" s="8" t="s">
        <v>1041</v>
      </c>
      <c r="S50" s="8" t="s">
        <v>1039</v>
      </c>
      <c r="T50" s="13">
        <v>5</v>
      </c>
      <c r="U50" s="8" t="s">
        <v>703</v>
      </c>
      <c r="V50" s="8" t="s">
        <v>704</v>
      </c>
      <c r="W50" s="8" t="s">
        <v>732</v>
      </c>
      <c r="X50" s="8" t="s">
        <v>706</v>
      </c>
      <c r="Y50" s="8" t="s">
        <v>1042</v>
      </c>
      <c r="Z50" s="8"/>
    </row>
    <row r="51" spans="1:26" ht="24" customHeight="1">
      <c r="A51" s="8">
        <v>150</v>
      </c>
      <c r="B51" s="8" t="s">
        <v>64</v>
      </c>
      <c r="C51" s="8" t="s">
        <v>65</v>
      </c>
      <c r="D51" s="8" t="s">
        <v>1043</v>
      </c>
      <c r="E51" s="8" t="s">
        <v>7</v>
      </c>
      <c r="F51" s="8" t="s">
        <v>1044</v>
      </c>
      <c r="G51" s="8" t="s">
        <v>128</v>
      </c>
      <c r="H51" s="8" t="s">
        <v>1045</v>
      </c>
      <c r="I51" s="8" t="s">
        <v>1046</v>
      </c>
      <c r="J51" s="8"/>
      <c r="K51" s="8" t="s">
        <v>72</v>
      </c>
      <c r="L51" s="8" t="s">
        <v>84</v>
      </c>
      <c r="M51" s="8" t="s">
        <v>74</v>
      </c>
      <c r="N51" s="8" t="s">
        <v>112</v>
      </c>
      <c r="O51" s="8" t="s">
        <v>700</v>
      </c>
      <c r="P51" s="14">
        <v>46193</v>
      </c>
      <c r="Q51" s="8" t="s">
        <v>713</v>
      </c>
      <c r="R51" s="8" t="s">
        <v>1047</v>
      </c>
      <c r="S51" s="8" t="s">
        <v>1046</v>
      </c>
      <c r="T51" s="13">
        <v>5</v>
      </c>
      <c r="U51" s="8" t="s">
        <v>703</v>
      </c>
      <c r="V51" s="8" t="s">
        <v>704</v>
      </c>
      <c r="W51" s="8" t="s">
        <v>732</v>
      </c>
      <c r="X51" s="8" t="s">
        <v>706</v>
      </c>
      <c r="Y51" s="8" t="s">
        <v>733</v>
      </c>
      <c r="Z51" s="8"/>
    </row>
    <row r="52" spans="1:26" ht="24" customHeight="1">
      <c r="A52" s="8">
        <v>151</v>
      </c>
      <c r="B52" s="8" t="s">
        <v>64</v>
      </c>
      <c r="C52" s="8" t="s">
        <v>65</v>
      </c>
      <c r="D52" s="8" t="s">
        <v>1048</v>
      </c>
      <c r="E52" s="8" t="s">
        <v>11</v>
      </c>
      <c r="F52" s="8" t="s">
        <v>1049</v>
      </c>
      <c r="G52" s="8" t="s">
        <v>1050</v>
      </c>
      <c r="H52" s="8" t="s">
        <v>1051</v>
      </c>
      <c r="I52" s="8" t="s">
        <v>1052</v>
      </c>
      <c r="J52" s="8" t="s">
        <v>1053</v>
      </c>
      <c r="K52" s="8" t="s">
        <v>72</v>
      </c>
      <c r="L52" s="8" t="s">
        <v>73</v>
      </c>
      <c r="M52" s="8" t="s">
        <v>74</v>
      </c>
      <c r="N52" s="8" t="s">
        <v>112</v>
      </c>
      <c r="O52" s="8" t="s">
        <v>700</v>
      </c>
      <c r="P52" s="14">
        <v>46193</v>
      </c>
      <c r="Q52" s="8" t="s">
        <v>1054</v>
      </c>
      <c r="R52" s="8" t="s">
        <v>1055</v>
      </c>
      <c r="S52" s="8" t="s">
        <v>1053</v>
      </c>
      <c r="T52" s="13">
        <v>5</v>
      </c>
      <c r="U52" s="8" t="s">
        <v>703</v>
      </c>
      <c r="V52" s="8" t="s">
        <v>886</v>
      </c>
      <c r="W52" s="8" t="s">
        <v>705</v>
      </c>
      <c r="X52" s="8" t="s">
        <v>706</v>
      </c>
      <c r="Y52" s="8" t="s">
        <v>1056</v>
      </c>
      <c r="Z52" s="8"/>
    </row>
    <row r="53" spans="1:26" ht="24" customHeight="1">
      <c r="A53" s="8">
        <v>152</v>
      </c>
      <c r="B53" s="8" t="s">
        <v>64</v>
      </c>
      <c r="C53" s="8" t="s">
        <v>65</v>
      </c>
      <c r="D53" s="8" t="s">
        <v>1057</v>
      </c>
      <c r="E53" s="8" t="s">
        <v>11</v>
      </c>
      <c r="F53" s="8" t="s">
        <v>1058</v>
      </c>
      <c r="G53" s="8" t="s">
        <v>128</v>
      </c>
      <c r="H53" s="8" t="s">
        <v>765</v>
      </c>
      <c r="I53" s="8" t="s">
        <v>1059</v>
      </c>
      <c r="J53" s="8" t="s">
        <v>1060</v>
      </c>
      <c r="K53" s="8" t="s">
        <v>72</v>
      </c>
      <c r="L53" s="8" t="s">
        <v>73</v>
      </c>
      <c r="M53" s="8" t="s">
        <v>74</v>
      </c>
      <c r="N53" s="8" t="s">
        <v>112</v>
      </c>
      <c r="O53" s="8" t="s">
        <v>700</v>
      </c>
      <c r="P53" s="14">
        <v>46193</v>
      </c>
      <c r="Q53" s="8" t="s">
        <v>1061</v>
      </c>
      <c r="R53" s="8" t="s">
        <v>1062</v>
      </c>
      <c r="S53" s="8" t="s">
        <v>1059</v>
      </c>
      <c r="T53" s="13">
        <v>5</v>
      </c>
      <c r="U53" s="8" t="s">
        <v>703</v>
      </c>
      <c r="V53" s="8" t="s">
        <v>886</v>
      </c>
      <c r="W53" s="8" t="s">
        <v>705</v>
      </c>
      <c r="X53" s="8" t="s">
        <v>706</v>
      </c>
      <c r="Y53" s="8" t="s">
        <v>1063</v>
      </c>
      <c r="Z53" s="8"/>
    </row>
    <row r="54" spans="1:26" ht="24" customHeight="1">
      <c r="A54" s="8">
        <v>153</v>
      </c>
      <c r="B54" s="8" t="s">
        <v>739</v>
      </c>
      <c r="C54" s="8" t="s">
        <v>132</v>
      </c>
      <c r="D54" s="8" t="s">
        <v>1064</v>
      </c>
      <c r="E54" s="8" t="s">
        <v>740</v>
      </c>
      <c r="F54" s="8" t="s">
        <v>1065</v>
      </c>
      <c r="G54" s="8" t="s">
        <v>1066</v>
      </c>
      <c r="H54" s="8" t="s">
        <v>1067</v>
      </c>
      <c r="I54" s="8" t="s">
        <v>1068</v>
      </c>
      <c r="J54" s="8"/>
      <c r="K54" s="8" t="s">
        <v>72</v>
      </c>
      <c r="L54" s="8" t="s">
        <v>84</v>
      </c>
      <c r="M54" s="8" t="s">
        <v>74</v>
      </c>
      <c r="N54" s="8" t="s">
        <v>112</v>
      </c>
      <c r="O54" s="8" t="s">
        <v>700</v>
      </c>
      <c r="P54" s="14">
        <v>46193</v>
      </c>
      <c r="Q54" s="8" t="s">
        <v>1069</v>
      </c>
      <c r="R54" s="8" t="s">
        <v>1070</v>
      </c>
      <c r="S54" s="8" t="s">
        <v>1068</v>
      </c>
      <c r="T54" s="13">
        <v>4</v>
      </c>
      <c r="U54" s="8" t="s">
        <v>731</v>
      </c>
      <c r="V54" s="8" t="s">
        <v>745</v>
      </c>
      <c r="W54" s="8" t="s">
        <v>732</v>
      </c>
      <c r="X54" s="8" t="s">
        <v>706</v>
      </c>
      <c r="Y54" s="8" t="s">
        <v>733</v>
      </c>
      <c r="Z54" s="8"/>
    </row>
    <row r="55" spans="1:26" ht="24" customHeight="1">
      <c r="A55" s="8">
        <v>154</v>
      </c>
      <c r="B55" s="8" t="s">
        <v>64</v>
      </c>
      <c r="C55" s="8" t="s">
        <v>65</v>
      </c>
      <c r="D55" s="8" t="s">
        <v>1071</v>
      </c>
      <c r="E55" s="8" t="s">
        <v>11</v>
      </c>
      <c r="F55" s="8" t="s">
        <v>1072</v>
      </c>
      <c r="G55" s="8" t="s">
        <v>122</v>
      </c>
      <c r="H55" s="8" t="s">
        <v>1073</v>
      </c>
      <c r="I55" s="8" t="s">
        <v>1074</v>
      </c>
      <c r="J55" s="8" t="s">
        <v>1075</v>
      </c>
      <c r="K55" s="8" t="s">
        <v>72</v>
      </c>
      <c r="L55" s="8" t="s">
        <v>73</v>
      </c>
      <c r="M55" s="8" t="s">
        <v>74</v>
      </c>
      <c r="N55" s="8" t="s">
        <v>112</v>
      </c>
      <c r="O55" s="8" t="s">
        <v>700</v>
      </c>
      <c r="P55" s="14">
        <v>46193</v>
      </c>
      <c r="Q55" s="8" t="s">
        <v>1076</v>
      </c>
      <c r="R55" s="8" t="s">
        <v>1077</v>
      </c>
      <c r="S55" s="8" t="s">
        <v>1075</v>
      </c>
      <c r="T55" s="13">
        <v>5</v>
      </c>
      <c r="U55" s="8" t="s">
        <v>703</v>
      </c>
      <c r="V55" s="8" t="s">
        <v>886</v>
      </c>
      <c r="W55" s="8" t="s">
        <v>705</v>
      </c>
      <c r="X55" s="8" t="s">
        <v>706</v>
      </c>
      <c r="Y55" s="8" t="s">
        <v>1078</v>
      </c>
      <c r="Z55" s="8"/>
    </row>
    <row r="56" spans="1:26" ht="24" customHeight="1">
      <c r="A56" s="8">
        <v>155</v>
      </c>
      <c r="B56" s="8" t="s">
        <v>64</v>
      </c>
      <c r="C56" s="8" t="s">
        <v>65</v>
      </c>
      <c r="D56" s="8" t="s">
        <v>1079</v>
      </c>
      <c r="E56" s="8" t="s">
        <v>9</v>
      </c>
      <c r="F56" s="8" t="s">
        <v>1080</v>
      </c>
      <c r="G56" s="8" t="s">
        <v>122</v>
      </c>
      <c r="H56" s="8" t="s">
        <v>1081</v>
      </c>
      <c r="I56" s="8" t="s">
        <v>1082</v>
      </c>
      <c r="J56" s="8"/>
      <c r="K56" s="8" t="s">
        <v>72</v>
      </c>
      <c r="L56" s="8" t="s">
        <v>84</v>
      </c>
      <c r="M56" s="8" t="s">
        <v>74</v>
      </c>
      <c r="N56" s="8" t="s">
        <v>112</v>
      </c>
      <c r="O56" s="8" t="s">
        <v>700</v>
      </c>
      <c r="P56" s="14">
        <v>46193</v>
      </c>
      <c r="Q56" s="8" t="s">
        <v>1083</v>
      </c>
      <c r="R56" s="8" t="s">
        <v>1084</v>
      </c>
      <c r="S56" s="8" t="s">
        <v>1082</v>
      </c>
      <c r="T56" s="13">
        <v>5</v>
      </c>
      <c r="U56" s="8" t="s">
        <v>703</v>
      </c>
      <c r="V56" s="8" t="s">
        <v>722</v>
      </c>
      <c r="W56" s="8" t="s">
        <v>705</v>
      </c>
      <c r="X56" s="8" t="s">
        <v>706</v>
      </c>
      <c r="Y56" s="8" t="s">
        <v>1085</v>
      </c>
      <c r="Z56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100 Company Source List</vt:lpstr>
      <vt:lpstr>Logo Map Triage</vt:lpstr>
      <vt:lpstr>Dropdown Lists</vt:lpstr>
      <vt:lpstr>Research Summary</vt:lpstr>
      <vt:lpstr>High-Conviction Adds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Wetchoko</dc:creator>
  <cp:lastModifiedBy>Armel Wetchoko</cp:lastModifiedBy>
  <dcterms:created xsi:type="dcterms:W3CDTF">2026-06-20T15:10:09Z</dcterms:created>
  <dcterms:modified xsi:type="dcterms:W3CDTF">2026-07-06T01:57:11Z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f78625a4-735a-4c3c-aff8-3e993b0560bf</vt:lpwstr>
  </property>
</Properties>
</file>